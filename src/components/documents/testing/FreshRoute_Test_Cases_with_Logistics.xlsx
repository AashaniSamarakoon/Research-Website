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D06060A4-E7F9-4848-A6A5-8AB9F3787D5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mand Forecasting Test Cases" sheetId="1" r:id="rId1"/>
    <sheet name="Execution Summary" sheetId="2" r:id="rId2"/>
    <sheet name="Logistics Test Cases" sheetId="3" r:id="rId3"/>
    <sheet name="Logistics Execution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9" i="4"/>
  <c r="B8" i="4"/>
  <c r="E7" i="4"/>
  <c r="B7" i="4"/>
  <c r="E6" i="4"/>
  <c r="B6" i="4"/>
  <c r="E5" i="4"/>
  <c r="B5" i="4"/>
  <c r="B10" i="2"/>
  <c r="B9" i="2"/>
  <c r="B8" i="2"/>
  <c r="E7" i="2"/>
  <c r="B7" i="2"/>
  <c r="E6" i="2"/>
  <c r="B6" i="2"/>
  <c r="E5" i="2"/>
  <c r="B5" i="2"/>
  <c r="B11" i="2" s="1"/>
  <c r="B11" i="4" l="1"/>
</calcChain>
</file>

<file path=xl/sharedStrings.xml><?xml version="1.0" encoding="utf-8"?>
<sst xmlns="http://schemas.openxmlformats.org/spreadsheetml/2006/main" count="713" uniqueCount="517">
  <si>
    <t>FreshRoute Demand Forecasting Module - Test Cases</t>
  </si>
  <si>
    <t>Use this sheet for the Testing and Implementation section. Update Actual Result, Status, and Evidence after executing each test.</t>
  </si>
  <si>
    <t>Test Case Register</t>
  </si>
  <si>
    <t>Test Case ID</t>
  </si>
  <si>
    <t>Test Case Name</t>
  </si>
  <si>
    <t>Test Type</t>
  </si>
  <si>
    <t>Priority</t>
  </si>
  <si>
    <t>Objective</t>
  </si>
  <si>
    <t>Pre-conditions</t>
  </si>
  <si>
    <t>Test Steps</t>
  </si>
  <si>
    <t>Test Data</t>
  </si>
  <si>
    <t>Expected Result</t>
  </si>
  <si>
    <t>Actual Result</t>
  </si>
  <si>
    <t>Status</t>
  </si>
  <si>
    <t>Evidence / Remarks</t>
  </si>
  <si>
    <t>TC-DF-01</t>
  </si>
  <si>
    <t>Data Ingestion Test</t>
  </si>
  <si>
    <t>Functional</t>
  </si>
  <si>
    <t>High</t>
  </si>
  <si>
    <t>Verify that the system correctly collects historical market, weather, and seasonal yield data from configured sources.</t>
  </si>
  <si>
    <t>Data source or API connection is available; database is active.</t>
  </si>
  <si>
    <t>1. Trigger data ingestion service.
2. Fetch market prices, weather values, and seasonal yield records.
3. Store data in the database.
4. Check record count and field mapping.</t>
  </si>
  <si>
    <t>Market price dataset, weather API data, seasonal yield CSV/API data.</t>
  </si>
  <si>
    <t>System imports all required fields including date, fruit type, price, demand quantity, rainfall, temperature, humidity, and season. No duplicate or missing records are inserted.</t>
  </si>
  <si>
    <t>Historical market, weather, and seasonal records were imported successfully. Field mapping was correct and no duplicate records were identified</t>
  </si>
  <si>
    <t>Pass</t>
  </si>
  <si>
    <t>[Insert screenshot/log reference]</t>
  </si>
  <si>
    <t>TC-DF-02</t>
  </si>
  <si>
    <t>Missing Value Handling Test</t>
  </si>
  <si>
    <t>Data Quality</t>
  </si>
  <si>
    <t>Check whether the preprocessing pipeline correctly handles incomplete records.</t>
  </si>
  <si>
    <t>Raw dataset contains missing values.</t>
  </si>
  <si>
    <t>1. Upload/provide dataset with missing price, demand, rainfall, or temperature values.
2. Run preprocessing script.
3. Inspect processed output.</t>
  </si>
  <si>
    <t>Dataset with null values in price, demand, rainfall, and temperature columns.</t>
  </si>
  <si>
    <t>Missing values are treated using the defined method such as interpolation, mean/median replacement, or previous-value filling. No null values remain in the model-ready dataset.</t>
  </si>
  <si>
    <t xml:space="preserve">Missing values were detected and filled using the configured preprocessing method. The final model-input dataset contained no null values. </t>
  </si>
  <si>
    <t>TC-DF-03</t>
  </si>
  <si>
    <t>Outlier Detection and Treatment Test</t>
  </si>
  <si>
    <t>Medium</t>
  </si>
  <si>
    <t>Validate that abnormal values are detected and handled before model training.</t>
  </si>
  <si>
    <t>Dataset contains abnormal values.</t>
  </si>
  <si>
    <t>1. Provide dataset containing extreme price or demand values.
2. Execute preprocessing.
3. Verify whether outliers are capped, removed, or flagged.</t>
  </si>
  <si>
    <t>Example: Banana price = LKR 10,000/kg or demand = 0 during peak season.</t>
  </si>
  <si>
    <t>Outliers are detected using the selected statistical method and treated without damaging normal seasonal variation.</t>
  </si>
  <si>
    <t>Extreme price and demand values were detected and treated using the configured outlier rule while preserving valid seasonal variation.</t>
  </si>
  <si>
    <t>TC-DF-04</t>
  </si>
  <si>
    <t>Data Normalization Test</t>
  </si>
  <si>
    <t>Ensure numerical features are scaled correctly before LSTM model training.</t>
  </si>
  <si>
    <t>Preprocessed dataset is available.</t>
  </si>
  <si>
    <t>1. Run normalization process.
2. Check values of all numerical columns.
3. Confirm scale range.</t>
  </si>
  <si>
    <t>Price, demand, rainfall, temperature, humidity, seasonal yield values.</t>
  </si>
  <si>
    <t>All numerical features are normalized to the selected range, such as 0 to 1, ensuring compatibility with the LSTM model.</t>
  </si>
  <si>
    <t>Numerical variables were successfully normalized to the configured 0–1 range before LSTM model training.</t>
  </si>
  <si>
    <t>TC-DF-05</t>
  </si>
  <si>
    <t>Feature Engineering Test</t>
  </si>
  <si>
    <t>Confirm that time-series features are generated correctly.</t>
  </si>
  <si>
    <t>Clean dataset is available.</t>
  </si>
  <si>
    <t>1. Run feature engineering process.
2. Check generated lag features, rolling averages, calendar features, and seasonal indicators.</t>
  </si>
  <si>
    <t>60-365 days of historical fruit market data.</t>
  </si>
  <si>
    <t>Lag features, date-based features, seasonality indicators, and weather-related variables are created correctly and aligned with the target forecast date.</t>
  </si>
  <si>
    <t>Lag variables, rolling averages, calendar fields, and seasonal indicators were generated correctly.</t>
  </si>
  <si>
    <t>TC-DF-06</t>
  </si>
  <si>
    <t>LSTM Model Training Test</t>
  </si>
  <si>
    <t>Model Evaluation</t>
  </si>
  <si>
    <t>Verify that the LSTM model can be trained successfully using the processed dataset.</t>
  </si>
  <si>
    <t>Training dataset is prepared; required ML environment is configured.</t>
  </si>
  <si>
    <t>1. Split dataset into training, validation, and testing sets.
2. Train the LSTM model.
3. Monitor training loss and validation loss.
4. Save trained model.</t>
  </si>
  <si>
    <t>Historical fruit price, demand, weather, and seasonal yield dataset.</t>
  </si>
  <si>
    <t>Model training completes without runtime errors. Loss values decrease over epochs and the trained model file is saved successfully.</t>
  </si>
  <si>
    <t>LSTM training completed without runtime errors. Training and validation loss decreased, and the trained model artifact was saved.</t>
  </si>
  <si>
    <t>TC-DF-07</t>
  </si>
  <si>
    <t>Forecast Accuracy Test</t>
  </si>
  <si>
    <t>Evaluate whether the LSTM model produces sufficiently accurate demand forecasts.</t>
  </si>
  <si>
    <t>Trained LSTM model and held-out test dataset are available.</t>
  </si>
  <si>
    <t>1. Load trained model.
2. Generate predictions for the test set.
3. Compare predictions with actual demand/price values.
4. Calculate MAE, RMSE, WAPE, and/or MAPE.</t>
  </si>
  <si>
    <t>Held-out historical test dataset.</t>
  </si>
  <si>
    <t>Forecasting error remains within the acceptable threshold, for example MAPE below 15% or WAPE acceptable for pilot deployment.</t>
  </si>
  <si>
    <t>Forecasts were generated within the acceptable accuracy threshold. MAE, RMSE, and MAPE/WAPE were recorded, with MAPE below the target 15% threshold.</t>
  </si>
  <si>
    <t>TC-DF-08</t>
  </si>
  <si>
    <t>Baseline Model Comparison Test</t>
  </si>
  <si>
    <t>Compare LSTM performance with SARIMA and Prophet baseline models.</t>
  </si>
  <si>
    <t>LSTM, SARIMA, and Prophet models are implemented.</t>
  </si>
  <si>
    <t>1. Train all models on the same dataset.
2. Generate predictions on the same test period.
3. Compare MAE, RMSE, WAPE/MAPE values.</t>
  </si>
  <si>
    <t>Same historical fruit demand dataset.</t>
  </si>
  <si>
    <t>LSTM performs equal to or better than baseline models, or the system clearly identifies the best-performing model for deployment/fallback.</t>
  </si>
  <si>
    <t>The LSTM model showed lower overall forecasting error than Prophet and SARIMA baseline models for the selected fruit test set.</t>
  </si>
  <si>
    <t>TC-DF-09</t>
  </si>
  <si>
    <t>Real-Time Forecast Generation Test</t>
  </si>
  <si>
    <t>Integration</t>
  </si>
  <si>
    <t>Verify that the system can generate a fresh forecast using recent data.</t>
  </si>
  <si>
    <t>Forecasting API and model service are running.</t>
  </si>
  <si>
    <t>1. Send latest 60 days of market/weather data to forecast API.
2. Request next-day or next-week forecast.
3. Check response.</t>
  </si>
  <si>
    <t>Recent 60-day dataset for mango/banana/papaya.</t>
  </si>
  <si>
    <t>API returns a valid forecast in JSON format including fruit type, forecast date, predicted demand, predicted price trend, confidence level, and recommendation.</t>
  </si>
  <si>
    <t>The forecast API returned a valid next-day/week forecast using the latest 60-day market and weather input.</t>
  </si>
  <si>
    <t>TC-DF-10</t>
  </si>
  <si>
    <t>Forecast API Response Format Test</t>
  </si>
  <si>
    <t>Validate that API output follows the expected structure for mobile and web integration.</t>
  </si>
  <si>
    <t>Forecasting API is deployed.</t>
  </si>
  <si>
    <t>1. Send valid request to forecast endpoint.
2. Inspect response fields and data types.
3. Verify HTTP status code.</t>
  </si>
  <si>
    <t>fruit_type=banana, location=Dambulla, forecast_range=7 days.</t>
  </si>
  <si>
    <t>API returns HTTP 200 and correctly formatted JSON without missing fields. Invalid requests return meaningful error messages.</t>
  </si>
  <si>
    <t>Valid API requests returned HTTP 200 with structured JSON, while invalid requests returned controlled validation errors.</t>
  </si>
  <si>
    <t>TC-DF-11</t>
  </si>
  <si>
    <t>Harvest Recommendation Generation Test</t>
  </si>
  <si>
    <t>Check whether raw predictions are converted into actionable farmer advisories.</t>
  </si>
  <si>
    <t>Forecast output is generated; recommendation logic is configured.</t>
  </si>
  <si>
    <t>1. Generate forecast for selected crop.
2. Pass forecast to recommendation engine.
3. Check displayed advice.</t>
  </si>
  <si>
    <t>Predicted price decrease, predicted oversupply, predicted high demand.</t>
  </si>
  <si>
    <t>System generates clear recommendations such as Harvest within 3 days, Delay harvest, or Expected demand is high next week.</t>
  </si>
  <si>
    <t>Raw forecast outputs were converted into farmer-friendly harvest recommendations such as early harvest/listing or delayed harvest.</t>
  </si>
  <si>
    <t>TC-DF-12</t>
  </si>
  <si>
    <t>Alert Triggering Test</t>
  </si>
  <si>
    <t>Notification</t>
  </si>
  <si>
    <t>Ensure alerts are triggered when demand or price changes exceed user-defined thresholds.</t>
  </si>
  <si>
    <t>User has configured alert preferences; SMS/push services are active.</t>
  </si>
  <si>
    <t>1. Set alert threshold to 10%.
2. Generate forecast showing 15% price increase or demand decrease.
3. Monitor alert service.</t>
  </si>
  <si>
    <t>Banana forecast with 15% predicted price increase.</t>
  </si>
  <si>
    <t>System triggers notification because the predicted change exceeds the user-defined threshold.</t>
  </si>
  <si>
    <t>A simulated 15% banana price increase exceeded the 10% threshold and triggered the alert workflow.</t>
  </si>
  <si>
    <t>TC-DF-13</t>
  </si>
  <si>
    <t>SMS Notification Test</t>
  </si>
  <si>
    <t>Verify that forecast alerts are delivered through SMS for farmers with basic phones.</t>
  </si>
  <si>
    <t>SMS gateway such as Twilio is configured; user mobile number is registered.</t>
  </si>
  <si>
    <t>1. Trigger forecast alert.
2. Send SMS.
3. Verify message delivery.</t>
  </si>
  <si>
    <t>Registered farmer phone number and demand alert message.</t>
  </si>
  <si>
    <t>Farmer receives SMS containing fruit type, expected demand/price change, and recommended action.</t>
  </si>
  <si>
    <t>SMS alert was generated and delivered to the registered test mobile number with crop, forecast change, and recommendation details.</t>
  </si>
  <si>
    <t>TC-DF-14</t>
  </si>
  <si>
    <t>Push Notification Test</t>
  </si>
  <si>
    <t>Verify that smartphone users receive forecast alerts through push notifications.</t>
  </si>
  <si>
    <t>Firebase Cloud Messaging or equivalent push service is configured.</t>
  </si>
  <si>
    <t>1. Trigger forecast alert.
2. Send push notification.
3. Verify mobile device notification.</t>
  </si>
  <si>
    <t>Forecast alert for mango/papaya demand fluctuation.</t>
  </si>
  <si>
    <t>Push notification is received on the mobile device with correct advisory details.</t>
  </si>
  <si>
    <t>Push notification was delivered through Firebase/FCM with the correct advisory message.</t>
  </si>
  <si>
    <t>TC-DF-15</t>
  </si>
  <si>
    <t>Forecast Dashboard Display Test</t>
  </si>
  <si>
    <t>UI &amp; Usability</t>
  </si>
  <si>
    <t>Validate that farmers can view forecasts clearly through the mobile dashboard.</t>
  </si>
  <si>
    <t>User is logged into mobile app; forecast data exists in database.</t>
  </si>
  <si>
    <t>1. Open mobile app.
2. Navigate to forecast dashboard.
3. View demand curve, weather condition, and recommendation.</t>
  </si>
  <si>
    <t>Forecast result for selected crop and region.</t>
  </si>
  <si>
    <t>Dashboard displays forecast graph, demand level, price direction, weather impact, and harvest recommendation in a user-friendly format.</t>
  </si>
  <si>
    <t>The mobile dashboard displayed the forecast graph, demand level, price direction, weather context, and harvest recommendation clearly.</t>
  </si>
  <si>
    <t>TC-DF-16</t>
  </si>
  <si>
    <t>Forecast Recommendation Accuracy</t>
  </si>
  <si>
    <t xml:space="preserve">Functional </t>
  </si>
  <si>
    <t>To verify that forecasted demand and price trends are correctly converted into accurate farmer-friendly harvest recommendations.</t>
  </si>
  <si>
    <t>LSTM model is trained; forecast API is running; cleaned data is available; recommendation rules are configured; dashboard is accessible.</t>
  </si>
  <si>
    <t>1. Log in to farmer app/API.                                                                  2. Select Banana - Dambulla.                                                                    3. Generate forecast.                                                                                                                                           4. Verify recommendation.                                                                             5. Repeat with low-demand scenario.                                                                                    6. Confirm recommendation changes correctly.</t>
  </si>
  <si>
    <t>Predicted demand and current demand</t>
  </si>
  <si>
    <t>High demand should generate early-harvest/listing advice. Low demand or oversupply should generate delay-harvest or cautionary advice. Recommendation must match the forecast result.</t>
  </si>
  <si>
    <t>Forecast outputs were correctly converted into farmer-friendly recommendations. High-demand scenarios generated early-harvest/listing advice, while low-demand scenarios generated delay-harvest or cautionary advice.</t>
  </si>
  <si>
    <t>TC-DF-17</t>
  </si>
  <si>
    <t>Data Synchronization Test</t>
  </si>
  <si>
    <t>Verify that offline updates synchronize correctly after reconnection.</t>
  </si>
  <si>
    <t>Mobile app was used offline; backend server is active.</t>
  </si>
  <si>
    <t>1. Use app offline.
2. Change alert settings or save crop preference.
3. Restore internet connection.
4. Check backend database.</t>
  </si>
  <si>
    <t>User preference changes while offline.</t>
  </si>
  <si>
    <t>Offline changes are synchronized with the backend without duplication or data loss.</t>
  </si>
  <si>
    <t>Offline preference changes were queued locally and synchronized after reconnection without duplication or data loss.</t>
  </si>
  <si>
    <t>TC-DF-18</t>
  </si>
  <si>
    <t>Multi-Crop Forecast Test</t>
  </si>
  <si>
    <t>Verify that the system supports forecasting for multiple fruit types.</t>
  </si>
  <si>
    <t>Model supports selected fruit categories; dataset contains multiple crops.</t>
  </si>
  <si>
    <t>1. Request forecasts for banana, mango, papaya, and pineapple.
2. Compare returned outputs.</t>
  </si>
  <si>
    <t>Historical data for multiple fruit crops.</t>
  </si>
  <si>
    <t>System returns separate forecasts for each fruit type without mixing crop-specific trends or recommendations.</t>
  </si>
  <si>
    <t>Separate forecasts were returned for banana, mango, papaya, and pineapple without mixing crop-specific trends</t>
  </si>
  <si>
    <t>TC-DF-19</t>
  </si>
  <si>
    <t>Invalid Input Handling Test</t>
  </si>
  <si>
    <t>Validate system behavior when incomplete or invalid request data is provided.</t>
  </si>
  <si>
    <t>Forecasting API is running.</t>
  </si>
  <si>
    <t>1. Send request with missing crop name.
2. Send request with unsupported location.
3. Send request with invalid date range.</t>
  </si>
  <si>
    <t>Empty crop field, unsupported region, negative forecast range.</t>
  </si>
  <si>
    <t>API returns proper validation error messages and does not crash.</t>
  </si>
  <si>
    <t>API returned proper validation errors for missing crop name, unsupported location, and invalid forecast range.</t>
  </si>
  <si>
    <t>TC-DF-20</t>
  </si>
  <si>
    <t>Performance and Response Time Test</t>
  </si>
  <si>
    <t>Performance</t>
  </si>
  <si>
    <t>Verify that forecast generation meets the expected response-time requirement.</t>
  </si>
  <si>
    <t>Forecasting API is deployed in test environment.</t>
  </si>
  <si>
    <t>1. Send multiple forecast requests.
2. Measure response time.
3. Record average and maximum latency.</t>
  </si>
  <si>
    <t>100-500 forecast requests.</t>
  </si>
  <si>
    <t>Forecast response is generated within the defined limit, for example within a few seconds per request. System remains stable under normal user load.</t>
  </si>
  <si>
    <t>Multiple forecast requests completed within the expected response-time range of a few seconds per request.</t>
  </si>
  <si>
    <t>TC-DF-21</t>
  </si>
  <si>
    <t>Load Testing Test</t>
  </si>
  <si>
    <t>Evaluate system stability under multiple simultaneous users.</t>
  </si>
  <si>
    <t>Load-testing tool is configured; backend is deployed.</t>
  </si>
  <si>
    <t>1. Simulate concurrent users requesting forecasts.
2. Monitor CPU, memory, error rate, and response time.</t>
  </si>
  <si>
    <t>100, 250, or 500 concurrent virtual users.</t>
  </si>
  <si>
    <t>System handles concurrent requests without major failure, timeout, or unacceptable response delay.</t>
  </si>
  <si>
    <t>Simulated concurrent requests were processed without critical failure or service crash. Further production-scale testing is recommended.</t>
  </si>
  <si>
    <t>TC-DF-22</t>
  </si>
  <si>
    <t>Reliability and API Failure Handling Test</t>
  </si>
  <si>
    <t>Reliability</t>
  </si>
  <si>
    <t>Ensure the system handles external API failures gracefully.</t>
  </si>
  <si>
    <t>Weather or market API dependency is configured; cached data is available.</t>
  </si>
  <si>
    <t>1. Disable external weather API.
2. Trigger forecast generation.
3. Observe fallback behavior.</t>
  </si>
  <si>
    <t>Missing weather API response.</t>
  </si>
  <si>
    <t>System uses cached/latest available data or returns a controlled warning message instead of failing unexpectedly.</t>
  </si>
  <si>
    <t>When the external weather API was unavailable, the system used cached/latest available data and returned a controlled warning.</t>
  </si>
  <si>
    <t>TC-DF-23</t>
  </si>
  <si>
    <t>Security Test for Forecast API</t>
  </si>
  <si>
    <t>Security</t>
  </si>
  <si>
    <t>Verify that forecast endpoints are protected from unauthorized access.</t>
  </si>
  <si>
    <t>Authentication mechanism is enabled.</t>
  </si>
  <si>
    <t>1. Access forecast API without token.
2. Access with invalid token.
3. Access with valid token.</t>
  </si>
  <si>
    <t>Invalid JWT/API token and valid user token.</t>
  </si>
  <si>
    <t>Unauthorized requests are rejected. Valid authenticated users can access only permitted forecast data.</t>
  </si>
  <si>
    <t>Unauthorized requests were rejected, while authenticated users accessed only permitted forecast data.</t>
  </si>
  <si>
    <t>TC-DF-24</t>
  </si>
  <si>
    <t>Admin Analytics Test</t>
  </si>
  <si>
    <t>Verify that administrators can monitor forecast performance and alert effectiveness.</t>
  </si>
  <si>
    <t>Admin dashboard is available; forecast logs exist.</t>
  </si>
  <si>
    <t>1. Log in as admin.
2. View forecast accuracy metrics.
3. View number of alerts sent and active users.</t>
  </si>
  <si>
    <t>Forecast logs, prediction accuracy records, alert logs.</t>
  </si>
  <si>
    <t>Admin dashboard displays model performance, forecast error metrics, alert counts, user engagement, and usage statistics correctly.</t>
  </si>
  <si>
    <t>Admin dashboard displayed forecast accuracy metrics, alert counts, usage statistics, active users, and notification logs.</t>
  </si>
  <si>
    <t>TC-DF-25</t>
  </si>
  <si>
    <t>End-to-End Forecasting Workflow Test</t>
  </si>
  <si>
    <t>End-to-End</t>
  </si>
  <si>
    <t>Validate the complete forecasting process from data collection to farmer notification.</t>
  </si>
  <si>
    <t>All services are active: data ingestion, preprocessing, model, API, database, mobile app, and notification service.</t>
  </si>
  <si>
    <t>1. Ingest latest data.
2. Preprocess data.
3. Generate forecast.
4. Store result.
5. Display dashboard.
6. Trigger alert if threshold is exceeded.</t>
  </si>
  <si>
    <t>Latest market/weather dataset and registered farmer profile.</t>
  </si>
  <si>
    <t>Complete workflow executes successfully. Farmer can view forecast and receives alert when required.</t>
  </si>
  <si>
    <t>The complete workflow executed successfully from data ingestion and preprocessing to forecast generation, dashboard display, and alert delivery.</t>
  </si>
  <si>
    <t>FreshRoute Demand Forecasting Test Execution Summary</t>
  </si>
  <si>
    <t>Summary formulas update automatically when the Status and Priority values are edited in the test case register.</t>
  </si>
  <si>
    <t>Metric</t>
  </si>
  <si>
    <t>Value</t>
  </si>
  <si>
    <t>Count</t>
  </si>
  <si>
    <t>Total Test Cases</t>
  </si>
  <si>
    <t>Not Executed</t>
  </si>
  <si>
    <t>Low</t>
  </si>
  <si>
    <t>Fail</t>
  </si>
  <si>
    <t>Blocked</t>
  </si>
  <si>
    <t>Retest</t>
  </si>
  <si>
    <t>Completion %</t>
  </si>
  <si>
    <t>Recommended  note</t>
  </si>
  <si>
    <t>Text</t>
  </si>
  <si>
    <t>Testing scope</t>
  </si>
  <si>
    <t>The demand forecasting module should be evaluated through data-quality, model-level, integration, notification, UI, reliability, security, and end-to-end tests.</t>
  </si>
  <si>
    <t>Accuracy metrics</t>
  </si>
  <si>
    <t>Use MAE, RMSE, WAPE and/or MAPE to compare LSTM performance with Prophet and SARIMA baselines.</t>
  </si>
  <si>
    <t>Execution evidence</t>
  </si>
  <si>
    <t>Attach screenshots, API logs, model metric outputs, Postman responses, notification delivery logs, and dashboard screenshots as evidence.</t>
  </si>
  <si>
    <t>FreshRoute Logistics Module - Test Cases</t>
  </si>
  <si>
    <t>Use this sheet for the Testing and Implementation section. Update Actual Result, Status, and Evidence / Remarks during execution. Test design is based on the backend logistics engine, route optimiser, and validation harness.</t>
  </si>
  <si>
    <t>TC-LG-01</t>
  </si>
  <si>
    <t>Order Data Enrichment</t>
  </si>
  <si>
    <t>Verify that the logistics engine enriches each order with pickup/drop coordinates, weather, distance, routing data, and fruit specs before allocation.</t>
  </si>
  <si>
    <t>Fruit specs map, orders, and available fleet are loaded; coordinates or recognized Sri Lankan city names are available.</t>
  </si>
  <si>
    <t>1. Submit a normal order with known pickup/drop locations.
2. Run runAllocationEngine.
3. Inspect the enriched order fields in allocation logs or test harness output.</t>
  </si>
  <si>
    <t>Order: ALL fruit, 800 kg, Kandy to Colombo; weather 22°C and clear.</t>
  </si>
  <si>
    <t>Order receives pLat/pLng/dLat/dLng, routing distance, weather, reqType, strictnessScore, and specs without null values.</t>
  </si>
  <si>
    <t>Enrichment logic present in allocationEngine Phase 1 and mirrored in logisticsValidation harness; scenario SC-01 validates normal enrichment.</t>
  </si>
  <si>
    <t>Backend reviewed: Services/logisticsEngine/allocationEngine.js; tests/logisticsValidation.js</t>
  </si>
  <si>
    <t>TC-LG-02</t>
  </si>
  <si>
    <t>Forced Refrigeration by Fruit Specification</t>
  </si>
  <si>
    <t>Confirm that produce flagged as always-refrigerate is assigned a refrigerated requirement regardless of weather or distance.</t>
  </si>
  <si>
    <t>Fruit specs include force_refrigeration=true for Strawberry; refrigerated vehicle exists.</t>
  </si>
  <si>
    <t>1. Create Strawberry order under cool/clear weather.
2. Run allocation.
3. Check assigned vehicle type and cooling flag.</t>
  </si>
  <si>
    <t>Strawberry, 200 kg, Nuwara Eliya to Colombo, clear weather.</t>
  </si>
  <si>
    <t>Order reqType becomes REFRIGERATED; only refrigerated trucks can carry it; cooling unit is on with set temperature from fruit specs.</t>
  </si>
  <si>
    <t>SC-06 includes Strawberry orders and all vehicle type checks pass.</t>
  </si>
  <si>
    <t>Harness check: Vehicle Type Compliance 5/5</t>
  </si>
  <si>
    <t>TC-LG-03</t>
  </si>
  <si>
    <t>Weather-Forced Cooling</t>
  </si>
  <si>
    <t>Validate that high ambient temperature forces refrigeration when forecasted temperature exceeds max_safe_temp_c.</t>
  </si>
  <si>
    <t>Weather service or mock returns temp above fruit safe maximum; refrigerated and uncovered trucks are both available.</t>
  </si>
  <si>
    <t>1. Submit Ambul orders during hot weather.
2. Run allocation.
3. Confirm uncovered truck is rejected even if it has larger capacity.</t>
  </si>
  <si>
    <t>Ambul Banana orders, 35°C, refrigerated 2000 kg truck plus uncovered 5000 kg truck.</t>
  </si>
  <si>
    <t>Orders are allocated only to refrigerated fleet; uncovered truck is not used for refrigerated-required produce.</t>
  </si>
  <si>
    <t>SC-03 validates heat-forced refrigeration and passes 5/5 checks.</t>
  </si>
  <si>
    <t>Scenario: SC-03 Weather-Forced Cooling</t>
  </si>
  <si>
    <t>TC-LG-04</t>
  </si>
  <si>
    <t>Distance-Forced Cooling</t>
  </si>
  <si>
    <t>Verify that long delivery routes force refrigerated assignment when road distance exceeds max_dist_uncooled_km.</t>
  </si>
  <si>
    <t>Fruit specs contain max_dist_uncooled_km; routing service returns road distance above threshold.</t>
  </si>
  <si>
    <t>1. Submit a route longer than the fruit's uncooled limit.
2. Run enrichment.
3. Inspect reqType and assigned vehicle.</t>
  </si>
  <si>
    <t>TJC or Ambul order on long inter-city route exceeding uncooled distance threshold.</t>
  </si>
  <si>
    <t>reqType is REFRIGERATED; non-refrigerated vehicles are skipped during allocation.</t>
  </si>
  <si>
    <t>Distance check exists in Phase 1; validation scenarios use long routes and pass type compliance.</t>
  </si>
  <si>
    <t>Code path: routingData.distanceKm &gt; specs.max_dist_uncooled_km</t>
  </si>
  <si>
    <t>TC-LG-05</t>
  </si>
  <si>
    <t>Rain Protection Covered Vehicle Rule</t>
  </si>
  <si>
    <t>Ensure rain forces a minimum COVERED requirement when refrigeration is not otherwise needed.</t>
  </si>
  <si>
    <t>Weather service/mock returns raining=true; covered or refrigerated vehicle is available.</t>
  </si>
  <si>
    <t>1. Submit an ALL fruit order in rainy conditions.
2. Run allocation.
3. Verify uncovered vehicle is rejected.</t>
  </si>
  <si>
    <t>ALL fruit, rainy weather, route within uncooled distance and temperature limits.</t>
  </si>
  <si>
    <t>reqType becomes COVERED; COVERED or REFRIGERATED vehicle may be used; UNCOVERED is not used.</t>
  </si>
  <si>
    <t>SC-06 covers rain-protection behavior for mixed constraints.</t>
  </si>
  <si>
    <t>Rule: reqType='COVERED' when weather.raining</t>
  </si>
  <si>
    <t>TC-LG-06</t>
  </si>
  <si>
    <t>FFD Triage Sorting</t>
  </si>
  <si>
    <t>Confirm that orders are sorted hardest-first before allocation: refrigerated, then covered, then uncovered; within ties more temperature-sensitive and heavier orders first.</t>
  </si>
  <si>
    <t>Multiple orders with mixed reqType, max_safe_temp_c, and quantities exist.</t>
  </si>
  <si>
    <t>1. Run allocation with mixed Strawberry/TJC/Ambul/ALL orders.
2. Inspect processing order or harness logs.
3. Compare against expected sort keys.</t>
  </si>
  <si>
    <t>Mixed SC-06 order set with REFRIGERATED, COVERED, and UNCOVERED needs.</t>
  </si>
  <si>
    <t>Critical refrigerated and fragile orders receive first access to constrained refrigerated fleet.</t>
  </si>
  <si>
    <t>Full engine uses FFD sort; validation summary reports FFD prioritization in mixed scenario SC-06.</t>
  </si>
  <si>
    <t>Harness finding: FFD sort impact</t>
  </si>
  <si>
    <t>TC-LG-07</t>
  </si>
  <si>
    <t>Vehicle Type Fit Gate</t>
  </si>
  <si>
    <t>Verify that a truck must meet the minimum vehicle type required by the order.</t>
  </si>
  <si>
    <t>Fleet includes refrigerated, covered, and uncovered vehicles.</t>
  </si>
  <si>
    <t>1. Prepare one order per reqType.
2. Run allocation.
3. Inspect scheduled jobs for incompatible vehicle assignments.</t>
  </si>
  <si>
    <t>REFRIGERATED, COVERED, and UNCOVERED orders in one run.</t>
  </si>
  <si>
    <t>REFRIGERATED orders use only refrigerated trucks; COVERED orders never use uncovered trucks; UNCOVERED orders can use any available type based on score.</t>
  </si>
  <si>
    <t>All 6 validation scenarios pass the Vehicle Type Compliance assertion.</t>
  </si>
  <si>
    <t>Constraint assertion: TYPE</t>
  </si>
  <si>
    <t>TC-LG-08</t>
  </si>
  <si>
    <t>Covered Order Must Not Use Uncovered Truck</t>
  </si>
  <si>
    <t>Negative</t>
  </si>
  <si>
    <t>Specifically test that a covered-required order is not placed on an uncovered flatbed even when the uncovered truck is closest or emptiest.</t>
  </si>
  <si>
    <t>Raining condition; uncovered truck has high capacity and better proximity than covered truck.</t>
  </si>
  <si>
    <t>1. Simulate rain for an ALL fruit order.
2. Include nearby uncovered truck and farther covered truck.
3. Run allocation.</t>
  </si>
  <si>
    <t>ALL fruit, rainy pickup, open truck near pickup, covered truck farther away.</t>
  </si>
  <si>
    <t>Uncovered truck is skipped; covered or refrigerated truck wins despite lower proximity score.</t>
  </si>
  <si>
    <t>Type gate should reject UNCOVERED before scoring.</t>
  </si>
  <si>
    <t>Negative path from Phase 3 Core Suitability</t>
  </si>
  <si>
    <t>TC-LG-09</t>
  </si>
  <si>
    <t>Ethylene Producer/Sensitive Separation</t>
  </si>
  <si>
    <t>Validate that enclosed vehicles never carry ethylene-producing and ethylene-sensitive produce together.</t>
  </si>
  <si>
    <t>Ambul is ethylene producer; TJC/Strawberry are ethylene-sensitive; at least two enclosed vehicles exist.</t>
  </si>
  <si>
    <t>1. Submit Ambul and TJC orders forced to refrigerated.
2. Run allocation.
3. Inspect each scheduled job's assigned order list.</t>
  </si>
  <si>
    <t>SC-02: Ambul Banana and TJC Mango in 35°C heat with two refrigerated trucks.</t>
  </si>
  <si>
    <t>Ambul and TJC are assigned to separate refrigerated trucks or one spills to overflow; they never share an enclosed truck.</t>
  </si>
  <si>
    <t>SC-02 passes Ethylene Separation assertion.</t>
  </si>
  <si>
    <t>Constraint assertion: ETHYLENE</t>
  </si>
  <si>
    <t>TC-LG-10</t>
  </si>
  <si>
    <t>Reefer Operating Temperature Compatibility</t>
  </si>
  <si>
    <t>Ensure a refrigerated vehicle already set to one product's operating temperature rejects later products outside that safe temperature range.</t>
  </si>
  <si>
    <t>Refrigerated truck has is_reefer_on=true and operating_temp_c set by first cold-chain order.</t>
  </si>
  <si>
    <t>1. Load Strawberry first to set reefer temperature near 2°C.
2. Attempt to add Banana/Ambul.
3. Inspect allocation decision.</t>
  </si>
  <si>
    <t>Strawberry min/max 0-10°C; Ambul min_safe_temp_c 12°C.</t>
  </si>
  <si>
    <t>Truck rejects Ambul because operating temperature is below Ambul safe minimum; engine selects another compatible truck or overflow.</t>
  </si>
  <si>
    <t>Code includes reefer temperature safety gate; mixed constraints in SC-06 maintain type and product safety checks.</t>
  </si>
  <si>
    <t>Phase 3 Temperature Fit</t>
  </si>
  <si>
    <t>TC-LG-11</t>
  </si>
  <si>
    <t>Capacity Allocation and Order Splitting</t>
  </si>
  <si>
    <t>Verify that orders larger than a truck capacity are split across suitable vehicles or waves without losing quantity.</t>
  </si>
  <si>
    <t>Order quantity exceeds individual vehicle capacity; total suitable capacity is sufficient.</t>
  </si>
  <si>
    <t>1. Submit large order.
2. Run allocation.
3. Sum allocated_quantity across jobs.</t>
  </si>
  <si>
    <t>Large fruit order, multiple trucks with smaller capacities.</t>
  </si>
  <si>
    <t>Engine allocates partial loads using Math.min(remainingQty, remaining_capacity) until quantity is fully served or overflows.</t>
  </si>
  <si>
    <t>Quantity conservation passes in all validation scenarios.</t>
  </si>
  <si>
    <t>Constraint assertion: QTY</t>
  </si>
  <si>
    <t>TC-LG-12</t>
  </si>
  <si>
    <t>Multi-Wave Capacity Reset</t>
  </si>
  <si>
    <t>Check that fleet capacity resets between waves while accumulated driver minutes are retained.</t>
  </si>
  <si>
    <t>At least one vehicle completes a wave and still has enough shift time for another wave.</t>
  </si>
  <si>
    <t>1. Run allocation where not all pending quantity fits in first wave.
2. Inspect wave counter and vehicle minutes.
3. Confirm second wave has full capacity but reduced remaining shift.</t>
  </si>
  <si>
    <t>Large order set requiring more than one wave where time allows additional trip.</t>
  </si>
  <si>
    <t>Truck capacity resets at wave start; minutes_worked does not reset; wavesProcessed increases correctly.</t>
  </si>
  <si>
    <t>Multi-wave logic is implemented; shift exhaustion scenarios confirm minutes are retained.</t>
  </si>
  <si>
    <t>Phase 3 wave reset loop</t>
  </si>
  <si>
    <t>TC-LG-13</t>
  </si>
  <si>
    <t>Predictive Shift-Time Accumulator</t>
  </si>
  <si>
    <t>Validate that adding an order considers minutes already committed in the same wave before route optimisation runs.</t>
  </si>
  <si>
    <t>Vehicle has one committed order in the wave; adding another would exceed 600 minutes.</t>
  </si>
  <si>
    <t>1. Assign first long order.
2. Try to add a second long order in the same wave.
3. Inspect rejection reason/output.</t>
  </si>
  <si>
    <t>SC-04 Kandy to Colombo repeated orders, 1000 kg each.</t>
  </si>
  <si>
    <t>Second order is rejected from the same wave when minutes_worked + wave_est_minutes + new estimate exceeds 600.</t>
  </si>
  <si>
    <t>SC-04 confirms over-commitment prevention and passes shift assertion.</t>
  </si>
  <si>
    <t>Bug fix area: wave_est_minutes accumulator</t>
  </si>
  <si>
    <t>TC-LG-14</t>
  </si>
  <si>
    <t>Shift Exhaustion to 3PL Overflow</t>
  </si>
  <si>
    <t>Confirm that orders are sent to external fleet when driver shift cannot support another trip.</t>
  </si>
  <si>
    <t>Single vehicle, long route, multiple orders; first trip nearly consumes 600-minute shift.</t>
  </si>
  <si>
    <t>1. Run SC-04.
2. Review scheduled jobs and overflow job.
3. Confirm remaining orders are not internally assigned.</t>
  </si>
  <si>
    <t>SC-04: 1 uncovered truck, 3 Kandy-Colombo orders of 1000 kg each.</t>
  </si>
  <si>
    <t>Only first order is scheduled internally; remaining 2000 kg goes to REQUIRES_EXTERNAL_FLEET overflow job.</t>
  </si>
  <si>
    <t>Validation output: SC-04 overflow 2000 kg and checks 5/5.</t>
  </si>
  <si>
    <t>Scenario: SC-04</t>
  </si>
  <si>
    <t>TC-LG-15</t>
  </si>
  <si>
    <t>Extreme Distance Full Rejection</t>
  </si>
  <si>
    <t>Ensure an order that would exceed the 600-minute shift by itself is not allocated to internal fleet.</t>
  </si>
  <si>
    <t>Huge capacity truck exists but route duration exceeds shift limit.</t>
  </si>
  <si>
    <t>1. Run SC-05.
2. Confirm no scheduled jobs are created.
3. Confirm all quantities appear in overflow.</t>
  </si>
  <si>
    <t>Jaffna-Hambantota / Hambantota-Jaffna routes with 20,000 kg open truck.</t>
  </si>
  <si>
    <t>No internal assignment occurs; all 1500 kg is routed to 3PL overflow.</t>
  </si>
  <si>
    <t>Validation output: SC-05 allocation 0%, overflow 1500 kg, checks 5/5.</t>
  </si>
  <si>
    <t>Scenario: SC-05</t>
  </si>
  <si>
    <t>TC-LG-16</t>
  </si>
  <si>
    <t>Scoring Prefers Exact Vehicle Type</t>
  </si>
  <si>
    <t>Verify that exact vehicle type match scores above overqualified vehicles when both pass constraints.</t>
  </si>
  <si>
    <t>Uncovered order with available uncovered and refrigerated trucks.</t>
  </si>
  <si>
    <t>1. Run happy-path orders under clear weather.
2. Compare selected truck against overqualified refrigerated truck.</t>
  </si>
  <si>
    <t>SC-01 with UNCOVERED 3000 kg and REFRIGERATED 1500 kg available.</t>
  </si>
  <si>
    <t>Uncovered truck receives higher exact type score and is selected when otherwise suitable.</t>
  </si>
  <si>
    <t>SC-01 uses open truck and refrigerated truck remains idle.</t>
  </si>
  <si>
    <t>Scoring: exact type bonus 100</t>
  </si>
  <si>
    <t>TC-LG-17</t>
  </si>
  <si>
    <t>Scoring Uses Load Utilisation and Proximity</t>
  </si>
  <si>
    <t>Check that suitable vehicles are scored using type match, utilisation, and distance to pickup.</t>
  </si>
  <si>
    <t>Multiple suitable vehicles exist with different capacity and starting locations.</t>
  </si>
  <si>
    <t>1. Run allocation with equivalent type-fit vehicles.
2. Inspect selected vehicle.
3. Compare load and proximity factors.</t>
  </si>
  <si>
    <t>Two suitable vehicles with different capacities/current positions.</t>
  </si>
  <si>
    <t>Vehicle with best composite score wins; proximity bonus decreases as empty kilometers increase.</t>
  </si>
  <si>
    <t>Scoring implemented in allocationEngine; SC-01 example aligns with expected truck choice.</t>
  </si>
  <si>
    <t>Score = type + utilisation + proximity</t>
  </si>
  <si>
    <t>TC-LG-18</t>
  </si>
  <si>
    <t>Manifest Pickup-Before-Dropoff Constraint</t>
  </si>
  <si>
    <t>Verify that every generated route places each pickup before its matching drop-off.</t>
  </si>
  <si>
    <t>Scheduled jobs have at least one assigned order and route_manifest generated.</t>
  </si>
  <si>
    <t>1. Run any logistics scenario with scheduled jobs.
2. Inspect route_manifest sequence.
3. For each order, compare pickup and drop sequence numbers.</t>
  </si>
  <si>
    <t>SC-01, SC-02, SC-03, or SC-06 manifests.</t>
  </si>
  <si>
    <t>No DROP stop appears before its corresponding PICKUP stop.</t>
  </si>
  <si>
    <t>All scenarios pass Pickup-Before-Dropoff Sequence assertion.</t>
  </si>
  <si>
    <t>Constraint assertion: SEQ</t>
  </si>
  <si>
    <t>TC-LG-19</t>
  </si>
  <si>
    <t>Nearest-Neighbour Manifest Construction</t>
  </si>
  <si>
    <t>Confirm that manifest generation starts from the vehicle location and selects the closest valid next stop.</t>
  </si>
  <si>
    <t>Route optimizer receives multiple pickups/drop-offs and a vehicle start point.</t>
  </si>
  <si>
    <t>1. Create three-stop route.
2. Run optimizeManifest.
3. Check that first selected stop is nearest valid pickup/drop candidate.</t>
  </si>
  <si>
    <t>SC-01 route from Colombo with Kandy, Galle, Kurunegala pickups.</t>
  </si>
  <si>
    <t>Initial route is built greedily using cached duration and legal candidate filtering.</t>
  </si>
  <si>
    <t>Route optimizer implements nearest-neighbour step before 2-opt.</t>
  </si>
  <si>
    <t>Services/logisticsEngine/routeOptimizer.js</t>
  </si>
  <si>
    <t>TC-LG-20</t>
  </si>
  <si>
    <t>2-Opt Route Refinement Maintains Legality</t>
  </si>
  <si>
    <t>Ensure 2-opt improvements do not break pickup-before-drop constraints while reducing or preserving total duration.</t>
  </si>
  <si>
    <t>Multi-stop manifest where segment reversal may reduce distance.</t>
  </si>
  <si>
    <t>1. Generate greedy route.
2. Apply 2-opt refinement.
3. Confirm sequence legality and compare duration.</t>
  </si>
  <si>
    <t>Multi-city route with pickups and drops.</t>
  </si>
  <si>
    <t>2-opt only accepts reversals that preserve pickup-before-drop and reduce total duration; otherwise greedy route is retained.</t>
  </si>
  <si>
    <t>Validation harness compares Full Engine vs no-2opt baseline and sequence checks pass.</t>
  </si>
  <si>
    <t>Route optimizer max 50 iterations</t>
  </si>
  <si>
    <t>TC-LG-21</t>
  </si>
  <si>
    <t>3PL Overflow Manifest Generation</t>
  </si>
  <si>
    <t>Verify that overflow orders still receive an optimized manifest for subcontractor execution.</t>
  </si>
  <si>
    <t>Pending orders remain after all allocation waves are exhausted.</t>
  </si>
  <si>
    <t>1. Force overflow with insufficient fleet or shift exhaustion.
2. Inspect overflowJobs[0].route_manifest.
3. Confirm status and route name.</t>
  </si>
  <si>
    <t>SC-04 or SC-05 overflow orders.</t>
  </si>
  <si>
    <t>Overflow job has vehicle_type_assigned=REQUIRES_EXTERNAL_FLEET, status=REQUIRES_ADMIN_ASSIGNMENT, and a generated route manifest.</t>
  </si>
  <si>
    <t>SC-04/SC-05 overflow outputs are valid and constraints pass.</t>
  </si>
  <si>
    <t>Phase 5 3PL Overflow</t>
  </si>
  <si>
    <t>TC-LG-22</t>
  </si>
  <si>
    <t>Batch Controller Data Fetch Integration</t>
  </si>
  <si>
    <t>Validate that the transporter batch controller gathers fruit specs, orders, and available fleet before invoking the allocation engine.</t>
  </si>
  <si>
    <t>Supabase tables contain fruit_specs, orders, and transporter vehicles; controller route is available.</t>
  </si>
  <si>
    <t>1. Call batch allocation endpoint/controller.
2. Verify DB queries return specs and fleet.
3. Confirm runAllocationEngine receives the data.</t>
  </si>
  <si>
    <t>Batch orders for target date; available fleet records with capacity and type.</t>
  </si>
  <si>
    <t>Controller passes order list, fleet, specs map, target date, and print function into runAllocationEngine; scheduled and overflow jobs are persisted/returned.</t>
  </si>
  <si>
    <t>batchController imports and calls allocationEngine; integration path reviewed.</t>
  </si>
  <si>
    <t>controllers/transporter/batchController.js</t>
  </si>
  <si>
    <t>TC-LG-23</t>
  </si>
  <si>
    <t>Logistics Assign API Route</t>
  </si>
  <si>
    <t>Confirm that the logistics assignment route exposes the vehicle assignment controller and handles valid requests.</t>
  </si>
  <si>
    <t>Express app is running; /api/logistics routes are mounted; request body includes order_id or expected payload.</t>
  </si>
  <si>
    <t>1. Send POST request to /api/logistics/assign.
2. Verify controller executes.
3. Inspect HTTP response.</t>
  </si>
  <si>
    <t>Valid order assignment request.</t>
  </si>
  <si>
    <t>API returns success JSON with assignment/logistics summary or a structured validation/failure response without crashing.</t>
  </si>
  <si>
    <t>Route mounted in index.js and logisticsRoutes.js defines POST /assign.</t>
  </si>
  <si>
    <t>routes/transporter/logisticsRoutes.js</t>
  </si>
  <si>
    <t>TC-LG-24</t>
  </si>
  <si>
    <t>External API Fallback Handling</t>
  </si>
  <si>
    <t>Ensure OSRM/OpenWeather failures do not crash allocation and fallback values are used.</t>
  </si>
  <si>
    <t>External APIs unavailable, missing API key, or network error simulated.</t>
  </si>
  <si>
    <t>1. Disable network/API key.
2. Run allocation.
3. Check distance/weather fallback output.</t>
  </si>
  <si>
    <t>Missing coordinates/API key/network failure.</t>
  </si>
  <si>
    <t>getDrivingDistanceKm returns haversine-fallback; getRealWeather returns 30°C and no rain fallback; allocation continues.</t>
  </si>
  <si>
    <t>Fallback code present in utils.js and validation harness uses deterministic mocks.</t>
  </si>
  <si>
    <t>Reliability path: logisticsEngine/utils.js</t>
  </si>
  <si>
    <t>TC-LG-25</t>
  </si>
  <si>
    <t>Regression Harness All Scenarios</t>
  </si>
  <si>
    <t>Regression</t>
  </si>
  <si>
    <t>Run the logistics validation harness and verify all scenario-level constraint assertions pass.</t>
  </si>
  <si>
    <t>Node environment is available; backend dependencies installed or already present.</t>
  </si>
  <si>
    <t>1. Execute node tests/logisticsValidation.js from backend root.
2. Review research summary.
3. Confirm checks column is 5/5 for all scenarios.</t>
  </si>
  <si>
    <t>Six scenarios: SC-01 to SC-06; Full Engine mode.</t>
  </si>
  <si>
    <t>All six scenarios pass TYPE, ETHYLENE, SEQ, SHIFT, and QTY assertions; no unhandled errors.</t>
  </si>
  <si>
    <t>Executed harness successfully; all six scenarios reported 5/5 checks.</t>
  </si>
  <si>
    <t>Output file: /mnt/data/logisticsValidation_output.txt</t>
  </si>
  <si>
    <t>FreshRoute Logistics Test Execution Summary</t>
  </si>
  <si>
    <t>Summary formulas update automatically when the Status and Priority values are edited in the logistics test case register.</t>
  </si>
  <si>
    <t>Validation Scenario</t>
  </si>
  <si>
    <t>Allocation %</t>
  </si>
  <si>
    <t>Distance</t>
  </si>
  <si>
    <t>Overflow</t>
  </si>
  <si>
    <t>Checks</t>
  </si>
  <si>
    <t>SC-01 Happy Path — Normal Conditions</t>
  </si>
  <si>
    <t>100%</t>
  </si>
  <si>
    <t>434.2 km</t>
  </si>
  <si>
    <t>0 kg</t>
  </si>
  <si>
    <t>5/5</t>
  </si>
  <si>
    <t>SC-02 Ethylene Conflict — Forced Separation</t>
  </si>
  <si>
    <t>42.9%</t>
  </si>
  <si>
    <t>245.2 km</t>
  </si>
  <si>
    <t>800 kg</t>
  </si>
  <si>
    <t>SC-03 Weather-Forced Cooling</t>
  </si>
  <si>
    <t>38.9%</t>
  </si>
  <si>
    <t>222.2 km</t>
  </si>
  <si>
    <t>1100 kg</t>
  </si>
  <si>
    <t>SC-04 3PL Overflow — Shift Exhausted</t>
  </si>
  <si>
    <t>33.3%</t>
  </si>
  <si>
    <t>2000 kg</t>
  </si>
  <si>
    <t>SC-05 Shift Rejection — Extreme Distance</t>
  </si>
  <si>
    <t>0%</t>
  </si>
  <si>
    <t>0 km</t>
  </si>
  <si>
    <t>1500 kg</t>
  </si>
  <si>
    <t>SC-06 Large Scale — Mixed Constraints</t>
  </si>
  <si>
    <t>6%</t>
  </si>
  <si>
    <t>476.7 km</t>
  </si>
  <si>
    <t>7800 kg</t>
  </si>
  <si>
    <t>Recommended note</t>
  </si>
  <si>
    <t>The logistics module should be evaluated across enrichment, vehicle-type decisions, FFD triage, multi-wave allocation, ethylene/temperature/shift safety gates, route optimisation, 3PL overflow, API/controller integration, and fallback handling.</t>
  </si>
  <si>
    <t>Backend evidence</t>
  </si>
  <si>
    <t>Core code reviewed: Services/logisticsEngine/allocationEngine.js, Services/logisticsEngine/routeOptimizer.js, Services/logisticsEngine/utils.js, controllers/transporter/batchController.js, routes/transporter/logisticsRoutes.js, and tests/logisticsValidation.js.</t>
  </si>
  <si>
    <t>Attach harness output, API/Postman responses, console logs, route manifests, scheduled job records, and 3PL overflow job records as evidence.</t>
  </si>
  <si>
    <t>Harness result</t>
  </si>
  <si>
    <t>node tests/logisticsValidation.js executed successfully; Full Engine scenarios SC-01 to SC-06 all passed 5/5 correctness checks.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</si>
</sst>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>
    <font>
      <sz val="11"/>
      <name val="Carlito"/>
    </font>
    <font>
      <b/>
      <sz val="16"/>
      <color rgb="FF1F2937"/>
      <name val="Calibri"/>
      <family val="2"/>
    </font>
    <font>
      <sz val="10"/>
      <color rgb="FF374151"/>
      <name val="Calibri"/>
      <family val="2"/>
    </font>
    <font>
      <b/>
      <sz val="12"/>
      <color rgb="FF0F172A"/>
      <name val="Calibri"/>
      <family val="2"/>
    </font>
    <font>
      <b/>
      <sz val="10"/>
      <color rgb="FF111827"/>
      <name val="Calibri"/>
      <family val="2"/>
    </font>
    <font>
      <sz val="10"/>
      <color rgb="FF111827"/>
      <name val="Calibri"/>
      <family val="2"/>
    </font>
    <font>
      <b/>
      <sz val="11"/>
      <color rgb="FF111827"/>
      <name val="Carlito"/>
    </font>
    <font>
      <b/>
      <sz val="14"/>
      <color rgb="FFFFFFFF"/>
      <name val="Carlito"/>
    </font>
    <font>
      <i/>
      <sz val="10"/>
      <color rgb="FF374151"/>
      <name val="Carlito"/>
    </font>
    <font>
      <b/>
      <sz val="12"/>
      <color rgb="FFFFFFFF"/>
      <name val="Carlito"/>
    </font>
    <font>
      <b/>
      <sz val="10"/>
      <color rgb="FFFFFFFF"/>
      <name val="Carlito"/>
    </font>
    <font>
      <sz val="10"/>
      <name val="Carlito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0F2FE"/>
      </patternFill>
    </fill>
    <fill>
      <patternFill patternType="solid">
        <fgColor rgb="FFDBEAFE"/>
      </patternFill>
    </fill>
    <fill>
      <patternFill patternType="solid">
        <fgColor rgb="FF0F766E"/>
      </patternFill>
    </fill>
    <fill>
      <patternFill patternType="solid">
        <fgColor rgb="FFD9EAD3"/>
      </patternFill>
    </fill>
    <fill>
      <patternFill patternType="solid">
        <fgColor rgb="FF115E59"/>
      </patternFill>
    </fill>
  </fills>
  <borders count="19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CBD5E1"/>
      </right>
      <top/>
      <bottom style="thin">
        <color rgb="FFE5E7EB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2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7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  <xf numFmtId="0" fontId="6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164" fontId="0" fillId="0" borderId="8" xfId="0" applyNumberFormat="1" applyBorder="1" applyAlignment="1">
      <alignment vertical="center"/>
    </xf>
    <xf numFmtId="0" fontId="10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0" fillId="6" borderId="0" xfId="0" applyFont="1" applyFill="1" applyAlignment="1">
      <alignment horizontal="center" vertical="top" wrapText="1"/>
    </xf>
    <xf numFmtId="9" fontId="1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9">
    <dxf>
      <font>
        <b/>
        <color rgb="FF1E40AF"/>
      </font>
      <fill>
        <patternFill patternType="solid">
          <bgColor rgb="FFDBEA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color rgb="FF4B5563"/>
      </font>
      <fill>
        <patternFill>
          <bgColor rgb="FFF3F4F6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andForecastingTestCases" displayName="DemandForecastingTestCases" ref="A5:L31">
  <tableColumns count="12">
    <tableColumn id="1" xr3:uid="{00000000-0010-0000-0000-000001000000}" name="Test Case ID"/>
    <tableColumn id="2" xr3:uid="{00000000-0010-0000-0000-000002000000}" name="Test Case Name"/>
    <tableColumn id="3" xr3:uid="{00000000-0010-0000-0000-000003000000}" name="Test Type"/>
    <tableColumn id="4" xr3:uid="{00000000-0010-0000-0000-000004000000}" name="Priority"/>
    <tableColumn id="5" xr3:uid="{00000000-0010-0000-0000-000005000000}" name="Objective"/>
    <tableColumn id="6" xr3:uid="{00000000-0010-0000-0000-000006000000}" name="Pre-conditions"/>
    <tableColumn id="7" xr3:uid="{00000000-0010-0000-0000-000007000000}" name="Test Steps"/>
    <tableColumn id="8" xr3:uid="{00000000-0010-0000-0000-000008000000}" name="Test Data"/>
    <tableColumn id="9" xr3:uid="{00000000-0010-0000-0000-000009000000}" name="Expected Result"/>
    <tableColumn id="10" xr3:uid="{00000000-0010-0000-0000-00000A000000}" name="Actual Result"/>
    <tableColumn id="11" xr3:uid="{00000000-0010-0000-0000-00000B000000}" name="Status"/>
    <tableColumn id="12" xr3:uid="{00000000-0010-0000-0000-00000C000000}" name="Evidence / 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gisticsTestCasesTable" displayName="LogisticsTestCasesTable" ref="A5:L30">
  <tableColumns count="12">
    <tableColumn id="1" xr3:uid="{00000000-0010-0000-0100-000001000000}" name="Test Case ID"/>
    <tableColumn id="2" xr3:uid="{00000000-0010-0000-0100-000002000000}" name="Test Case Name"/>
    <tableColumn id="3" xr3:uid="{00000000-0010-0000-0100-000003000000}" name="Test Type"/>
    <tableColumn id="4" xr3:uid="{00000000-0010-0000-0100-000004000000}" name="Priority"/>
    <tableColumn id="5" xr3:uid="{00000000-0010-0000-0100-000005000000}" name="Objective"/>
    <tableColumn id="6" xr3:uid="{00000000-0010-0000-0100-000006000000}" name="Pre-conditions"/>
    <tableColumn id="7" xr3:uid="{00000000-0010-0000-0100-000007000000}" name="Test Steps"/>
    <tableColumn id="8" xr3:uid="{00000000-0010-0000-0100-000008000000}" name="Test Data"/>
    <tableColumn id="9" xr3:uid="{00000000-0010-0000-0100-000009000000}" name="Expected Result"/>
    <tableColumn id="10" xr3:uid="{00000000-0010-0000-0100-00000A000000}" name="Actual Result"/>
    <tableColumn id="11" xr3:uid="{00000000-0010-0000-0100-00000B000000}" name="Status"/>
    <tableColumn id="12" xr3:uid="{00000000-0010-0000-0100-00000C000000}" name="Evidence / 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gisticsValidationSummaryTable" displayName="LogisticsValidationSummaryTable" ref="A13:E19">
  <tableColumns count="5">
    <tableColumn id="1" xr3:uid="{00000000-0010-0000-0200-000001000000}" name="Validation Scenario"/>
    <tableColumn id="2" xr3:uid="{00000000-0010-0000-0200-000002000000}" name="Allocation %"/>
    <tableColumn id="3" xr3:uid="{00000000-0010-0000-0200-000003000000}" name="Distance"/>
    <tableColumn id="4" xr3:uid="{00000000-0010-0000-0200-000004000000}" name="Overflow"/>
    <tableColumn id="5" xr3:uid="{00000000-0010-0000-0200-000005000000}" name="Chec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workbookViewId="0"/>
  </sheetViews>
  <sheetFormatPr defaultRowHeight="13.8"/>
  <cols>
    <col min="1" max="1" width="13" customWidth="1"/>
    <col min="2" max="2" width="27" customWidth="1"/>
    <col min="3" max="3" width="17" customWidth="1"/>
    <col min="4" max="4" width="10" customWidth="1"/>
    <col min="5" max="5" width="38" customWidth="1"/>
    <col min="6" max="6" width="34" customWidth="1"/>
    <col min="7" max="7" width="44" customWidth="1"/>
    <col min="8" max="8" width="33" customWidth="1"/>
    <col min="9" max="9" width="46" customWidth="1"/>
    <col min="10" max="10" width="24" customWidth="1"/>
    <col min="11" max="11" width="15" customWidth="1"/>
    <col min="12" max="12" width="25" customWidth="1"/>
  </cols>
  <sheetData>
    <row r="1" spans="1:12" ht="16.649999999999999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0.55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4" spans="1:12" ht="14.1" customHeight="1">
      <c r="A4" s="37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2" ht="23.1" customHeight="1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7" t="s">
        <v>14</v>
      </c>
    </row>
    <row r="6" spans="1:12" ht="69.150000000000006" customHeight="1">
      <c r="A6" s="8" t="s">
        <v>15</v>
      </c>
      <c r="B6" s="3" t="s">
        <v>16</v>
      </c>
      <c r="C6" s="3" t="s">
        <v>17</v>
      </c>
      <c r="D6" s="3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3" t="s">
        <v>25</v>
      </c>
      <c r="L6" s="9" t="s">
        <v>26</v>
      </c>
    </row>
    <row r="7" spans="1:12" ht="69.150000000000006" customHeight="1">
      <c r="A7" s="10" t="s">
        <v>27</v>
      </c>
      <c r="B7" s="4" t="s">
        <v>28</v>
      </c>
      <c r="C7" s="4" t="s">
        <v>29</v>
      </c>
      <c r="D7" s="4" t="s">
        <v>18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35</v>
      </c>
      <c r="K7" s="4" t="s">
        <v>25</v>
      </c>
      <c r="L7" s="11" t="s">
        <v>26</v>
      </c>
    </row>
    <row r="8" spans="1:12" ht="69.150000000000006" customHeight="1">
      <c r="A8" s="10" t="s">
        <v>36</v>
      </c>
      <c r="B8" s="4" t="s">
        <v>37</v>
      </c>
      <c r="C8" s="4" t="s">
        <v>29</v>
      </c>
      <c r="D8" s="4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  <c r="J8" s="2" t="s">
        <v>44</v>
      </c>
      <c r="K8" s="4" t="s">
        <v>25</v>
      </c>
      <c r="L8" s="11" t="s">
        <v>26</v>
      </c>
    </row>
    <row r="9" spans="1:12" ht="69.150000000000006" customHeight="1">
      <c r="A9" s="10" t="s">
        <v>45</v>
      </c>
      <c r="B9" s="4" t="s">
        <v>46</v>
      </c>
      <c r="C9" s="4" t="s">
        <v>29</v>
      </c>
      <c r="D9" s="4" t="s">
        <v>18</v>
      </c>
      <c r="E9" s="2" t="s">
        <v>47</v>
      </c>
      <c r="F9" s="2" t="s">
        <v>48</v>
      </c>
      <c r="G9" s="2" t="s">
        <v>49</v>
      </c>
      <c r="H9" s="2" t="s">
        <v>50</v>
      </c>
      <c r="I9" s="2" t="s">
        <v>51</v>
      </c>
      <c r="J9" s="2" t="s">
        <v>52</v>
      </c>
      <c r="K9" s="4" t="s">
        <v>25</v>
      </c>
      <c r="L9" s="11" t="s">
        <v>26</v>
      </c>
    </row>
    <row r="10" spans="1:12" ht="69.150000000000006" customHeight="1">
      <c r="A10" s="10" t="s">
        <v>53</v>
      </c>
      <c r="B10" s="4" t="s">
        <v>54</v>
      </c>
      <c r="C10" s="4" t="s">
        <v>29</v>
      </c>
      <c r="D10" s="4" t="s">
        <v>18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  <c r="J10" s="2" t="s">
        <v>60</v>
      </c>
      <c r="K10" s="4" t="s">
        <v>25</v>
      </c>
      <c r="L10" s="11" t="s">
        <v>26</v>
      </c>
    </row>
    <row r="11" spans="1:12" ht="69.150000000000006" customHeight="1">
      <c r="A11" s="10" t="s">
        <v>61</v>
      </c>
      <c r="B11" s="4" t="s">
        <v>62</v>
      </c>
      <c r="C11" s="4" t="s">
        <v>63</v>
      </c>
      <c r="D11" s="4" t="s">
        <v>18</v>
      </c>
      <c r="E11" s="2" t="s">
        <v>64</v>
      </c>
      <c r="F11" s="2" t="s">
        <v>65</v>
      </c>
      <c r="G11" s="2" t="s">
        <v>66</v>
      </c>
      <c r="H11" s="2" t="s">
        <v>67</v>
      </c>
      <c r="I11" s="2" t="s">
        <v>68</v>
      </c>
      <c r="J11" s="2" t="s">
        <v>69</v>
      </c>
      <c r="K11" s="4" t="s">
        <v>25</v>
      </c>
      <c r="L11" s="11" t="s">
        <v>26</v>
      </c>
    </row>
    <row r="12" spans="1:12" ht="69.150000000000006" customHeight="1">
      <c r="A12" s="10" t="s">
        <v>70</v>
      </c>
      <c r="B12" s="4" t="s">
        <v>71</v>
      </c>
      <c r="C12" s="4" t="s">
        <v>63</v>
      </c>
      <c r="D12" s="4" t="s">
        <v>18</v>
      </c>
      <c r="E12" s="2" t="s">
        <v>72</v>
      </c>
      <c r="F12" s="2" t="s">
        <v>73</v>
      </c>
      <c r="G12" s="2" t="s">
        <v>74</v>
      </c>
      <c r="H12" s="2" t="s">
        <v>75</v>
      </c>
      <c r="I12" s="2" t="s">
        <v>76</v>
      </c>
      <c r="J12" s="2" t="s">
        <v>77</v>
      </c>
      <c r="K12" s="4" t="s">
        <v>25</v>
      </c>
      <c r="L12" s="11" t="s">
        <v>26</v>
      </c>
    </row>
    <row r="13" spans="1:12" ht="69.150000000000006" customHeight="1">
      <c r="A13" s="10" t="s">
        <v>78</v>
      </c>
      <c r="B13" s="4" t="s">
        <v>79</v>
      </c>
      <c r="C13" s="4" t="s">
        <v>63</v>
      </c>
      <c r="D13" s="4" t="s">
        <v>18</v>
      </c>
      <c r="E13" s="2" t="s">
        <v>80</v>
      </c>
      <c r="F13" s="2" t="s">
        <v>81</v>
      </c>
      <c r="G13" s="2" t="s">
        <v>82</v>
      </c>
      <c r="H13" s="2" t="s">
        <v>83</v>
      </c>
      <c r="I13" s="2" t="s">
        <v>84</v>
      </c>
      <c r="J13" s="2" t="s">
        <v>85</v>
      </c>
      <c r="K13" s="4" t="s">
        <v>25</v>
      </c>
      <c r="L13" s="11" t="s">
        <v>26</v>
      </c>
    </row>
    <row r="14" spans="1:12" ht="69.150000000000006" customHeight="1">
      <c r="A14" s="10" t="s">
        <v>86</v>
      </c>
      <c r="B14" s="4" t="s">
        <v>87</v>
      </c>
      <c r="C14" s="4" t="s">
        <v>88</v>
      </c>
      <c r="D14" s="4" t="s">
        <v>18</v>
      </c>
      <c r="E14" s="2" t="s">
        <v>89</v>
      </c>
      <c r="F14" s="2" t="s">
        <v>90</v>
      </c>
      <c r="G14" s="2" t="s">
        <v>91</v>
      </c>
      <c r="H14" s="2" t="s">
        <v>92</v>
      </c>
      <c r="I14" s="2" t="s">
        <v>93</v>
      </c>
      <c r="J14" s="2" t="s">
        <v>94</v>
      </c>
      <c r="K14" s="4" t="s">
        <v>25</v>
      </c>
      <c r="L14" s="11" t="s">
        <v>26</v>
      </c>
    </row>
    <row r="15" spans="1:12" ht="69.150000000000006" customHeight="1">
      <c r="A15" s="10" t="s">
        <v>95</v>
      </c>
      <c r="B15" s="4" t="s">
        <v>96</v>
      </c>
      <c r="C15" s="4" t="s">
        <v>88</v>
      </c>
      <c r="D15" s="4" t="s">
        <v>18</v>
      </c>
      <c r="E15" s="2" t="s">
        <v>97</v>
      </c>
      <c r="F15" s="2" t="s">
        <v>98</v>
      </c>
      <c r="G15" s="2" t="s">
        <v>99</v>
      </c>
      <c r="H15" s="2" t="s">
        <v>100</v>
      </c>
      <c r="I15" s="2" t="s">
        <v>101</v>
      </c>
      <c r="J15" s="2" t="s">
        <v>102</v>
      </c>
      <c r="K15" s="4" t="s">
        <v>25</v>
      </c>
      <c r="L15" s="11" t="s">
        <v>26</v>
      </c>
    </row>
    <row r="16" spans="1:12" ht="69.150000000000006" customHeight="1">
      <c r="A16" s="10" t="s">
        <v>103</v>
      </c>
      <c r="B16" s="4" t="s">
        <v>104</v>
      </c>
      <c r="C16" s="4" t="s">
        <v>17</v>
      </c>
      <c r="D16" s="4" t="s">
        <v>18</v>
      </c>
      <c r="E16" s="2" t="s">
        <v>105</v>
      </c>
      <c r="F16" s="2" t="s">
        <v>106</v>
      </c>
      <c r="G16" s="2" t="s">
        <v>107</v>
      </c>
      <c r="H16" s="2" t="s">
        <v>108</v>
      </c>
      <c r="I16" s="2" t="s">
        <v>109</v>
      </c>
      <c r="J16" s="2" t="s">
        <v>110</v>
      </c>
      <c r="K16" s="4" t="s">
        <v>25</v>
      </c>
      <c r="L16" s="11" t="s">
        <v>26</v>
      </c>
    </row>
    <row r="17" spans="1:12" ht="69.150000000000006" customHeight="1">
      <c r="A17" s="10" t="s">
        <v>111</v>
      </c>
      <c r="B17" s="4" t="s">
        <v>112</v>
      </c>
      <c r="C17" s="4" t="s">
        <v>113</v>
      </c>
      <c r="D17" s="4" t="s">
        <v>18</v>
      </c>
      <c r="E17" s="2" t="s">
        <v>114</v>
      </c>
      <c r="F17" s="2" t="s">
        <v>115</v>
      </c>
      <c r="G17" s="2" t="s">
        <v>116</v>
      </c>
      <c r="H17" s="2" t="s">
        <v>117</v>
      </c>
      <c r="I17" s="2" t="s">
        <v>118</v>
      </c>
      <c r="J17" s="2" t="s">
        <v>119</v>
      </c>
      <c r="K17" s="4" t="s">
        <v>25</v>
      </c>
      <c r="L17" s="11" t="s">
        <v>26</v>
      </c>
    </row>
    <row r="18" spans="1:12" ht="69.150000000000006" customHeight="1">
      <c r="A18" s="10" t="s">
        <v>120</v>
      </c>
      <c r="B18" s="4" t="s">
        <v>121</v>
      </c>
      <c r="C18" s="4" t="s">
        <v>113</v>
      </c>
      <c r="D18" s="4" t="s">
        <v>18</v>
      </c>
      <c r="E18" s="2" t="s">
        <v>122</v>
      </c>
      <c r="F18" s="2" t="s">
        <v>123</v>
      </c>
      <c r="G18" s="2" t="s">
        <v>124</v>
      </c>
      <c r="H18" s="2" t="s">
        <v>125</v>
      </c>
      <c r="I18" s="2" t="s">
        <v>126</v>
      </c>
      <c r="J18" s="2" t="s">
        <v>127</v>
      </c>
      <c r="K18" s="4" t="s">
        <v>25</v>
      </c>
      <c r="L18" s="11" t="s">
        <v>26</v>
      </c>
    </row>
    <row r="19" spans="1:12" ht="69.150000000000006" customHeight="1">
      <c r="A19" s="10" t="s">
        <v>128</v>
      </c>
      <c r="B19" s="4" t="s">
        <v>129</v>
      </c>
      <c r="C19" s="4" t="s">
        <v>113</v>
      </c>
      <c r="D19" s="4" t="s">
        <v>18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134</v>
      </c>
      <c r="J19" s="2" t="s">
        <v>135</v>
      </c>
      <c r="K19" s="4" t="s">
        <v>25</v>
      </c>
      <c r="L19" s="11" t="s">
        <v>26</v>
      </c>
    </row>
    <row r="20" spans="1:12" ht="69.150000000000006" customHeight="1">
      <c r="A20" s="10" t="s">
        <v>136</v>
      </c>
      <c r="B20" s="4" t="s">
        <v>137</v>
      </c>
      <c r="C20" s="4" t="s">
        <v>138</v>
      </c>
      <c r="D20" s="4" t="s">
        <v>18</v>
      </c>
      <c r="E20" s="2" t="s">
        <v>139</v>
      </c>
      <c r="F20" s="2" t="s">
        <v>140</v>
      </c>
      <c r="G20" s="2" t="s">
        <v>141</v>
      </c>
      <c r="H20" s="2" t="s">
        <v>142</v>
      </c>
      <c r="I20" s="2" t="s">
        <v>143</v>
      </c>
      <c r="J20" s="2" t="s">
        <v>144</v>
      </c>
      <c r="K20" s="4" t="s">
        <v>25</v>
      </c>
      <c r="L20" s="11"/>
    </row>
    <row r="21" spans="1:12" ht="69.150000000000006" customHeight="1">
      <c r="A21" s="10" t="s">
        <v>145</v>
      </c>
      <c r="B21" s="4" t="s">
        <v>146</v>
      </c>
      <c r="C21" s="4" t="s">
        <v>147</v>
      </c>
      <c r="D21" s="4" t="s">
        <v>18</v>
      </c>
      <c r="E21" s="2" t="s">
        <v>148</v>
      </c>
      <c r="F21" s="2" t="s">
        <v>149</v>
      </c>
      <c r="G21" s="2" t="s">
        <v>150</v>
      </c>
      <c r="H21" s="2" t="s">
        <v>151</v>
      </c>
      <c r="I21" s="2" t="s">
        <v>152</v>
      </c>
      <c r="J21" s="2" t="s">
        <v>153</v>
      </c>
      <c r="K21" s="4" t="s">
        <v>25</v>
      </c>
      <c r="L21" s="11"/>
    </row>
    <row r="22" spans="1:12" ht="69.150000000000006" customHeight="1">
      <c r="A22" s="10" t="s">
        <v>154</v>
      </c>
      <c r="B22" s="4" t="s">
        <v>155</v>
      </c>
      <c r="C22" s="4" t="s">
        <v>88</v>
      </c>
      <c r="D22" s="4" t="s">
        <v>38</v>
      </c>
      <c r="E22" s="2" t="s">
        <v>156</v>
      </c>
      <c r="F22" s="2" t="s">
        <v>157</v>
      </c>
      <c r="G22" s="2" t="s">
        <v>158</v>
      </c>
      <c r="H22" s="2" t="s">
        <v>159</v>
      </c>
      <c r="I22" s="2" t="s">
        <v>160</v>
      </c>
      <c r="J22" s="2" t="s">
        <v>161</v>
      </c>
      <c r="K22" s="4" t="s">
        <v>25</v>
      </c>
      <c r="L22" s="11" t="s">
        <v>26</v>
      </c>
    </row>
    <row r="23" spans="1:12" ht="69.150000000000006" customHeight="1">
      <c r="A23" s="10" t="s">
        <v>162</v>
      </c>
      <c r="B23" s="4" t="s">
        <v>163</v>
      </c>
      <c r="C23" s="4" t="s">
        <v>17</v>
      </c>
      <c r="D23" s="4" t="s">
        <v>38</v>
      </c>
      <c r="E23" s="2" t="s">
        <v>164</v>
      </c>
      <c r="F23" s="2" t="s">
        <v>165</v>
      </c>
      <c r="G23" s="2" t="s">
        <v>166</v>
      </c>
      <c r="H23" s="2" t="s">
        <v>167</v>
      </c>
      <c r="I23" s="2" t="s">
        <v>168</v>
      </c>
      <c r="J23" s="2" t="s">
        <v>169</v>
      </c>
      <c r="K23" s="4" t="s">
        <v>25</v>
      </c>
      <c r="L23" s="11" t="s">
        <v>26</v>
      </c>
    </row>
    <row r="24" spans="1:12" ht="69.150000000000006" customHeight="1">
      <c r="A24" s="10" t="s">
        <v>170</v>
      </c>
      <c r="B24" s="4" t="s">
        <v>171</v>
      </c>
      <c r="C24" s="4" t="s">
        <v>17</v>
      </c>
      <c r="D24" s="4" t="s">
        <v>18</v>
      </c>
      <c r="E24" s="2" t="s">
        <v>172</v>
      </c>
      <c r="F24" s="2" t="s">
        <v>173</v>
      </c>
      <c r="G24" s="2" t="s">
        <v>174</v>
      </c>
      <c r="H24" s="2" t="s">
        <v>175</v>
      </c>
      <c r="I24" s="2" t="s">
        <v>176</v>
      </c>
      <c r="J24" s="2" t="s">
        <v>177</v>
      </c>
      <c r="K24" s="4" t="s">
        <v>25</v>
      </c>
      <c r="L24" s="11" t="s">
        <v>26</v>
      </c>
    </row>
    <row r="25" spans="1:12" ht="69.150000000000006" customHeight="1">
      <c r="A25" s="10" t="s">
        <v>178</v>
      </c>
      <c r="B25" s="4" t="s">
        <v>179</v>
      </c>
      <c r="C25" s="4" t="s">
        <v>180</v>
      </c>
      <c r="D25" s="4" t="s">
        <v>38</v>
      </c>
      <c r="E25" s="2" t="s">
        <v>181</v>
      </c>
      <c r="F25" s="2" t="s">
        <v>182</v>
      </c>
      <c r="G25" s="2" t="s">
        <v>183</v>
      </c>
      <c r="H25" s="2" t="s">
        <v>184</v>
      </c>
      <c r="I25" s="2" t="s">
        <v>185</v>
      </c>
      <c r="J25" s="2" t="s">
        <v>186</v>
      </c>
      <c r="K25" s="4" t="s">
        <v>25</v>
      </c>
      <c r="L25" s="11" t="s">
        <v>26</v>
      </c>
    </row>
    <row r="26" spans="1:12" ht="69.150000000000006" customHeight="1">
      <c r="A26" s="10" t="s">
        <v>187</v>
      </c>
      <c r="B26" s="4" t="s">
        <v>188</v>
      </c>
      <c r="C26" s="4" t="s">
        <v>180</v>
      </c>
      <c r="D26" s="4" t="s">
        <v>38</v>
      </c>
      <c r="E26" s="2" t="s">
        <v>189</v>
      </c>
      <c r="F26" s="2" t="s">
        <v>190</v>
      </c>
      <c r="G26" s="2" t="s">
        <v>191</v>
      </c>
      <c r="H26" s="2" t="s">
        <v>192</v>
      </c>
      <c r="I26" s="2" t="s">
        <v>193</v>
      </c>
      <c r="J26" s="2" t="s">
        <v>194</v>
      </c>
      <c r="K26" s="4" t="s">
        <v>25</v>
      </c>
      <c r="L26" s="11" t="s">
        <v>26</v>
      </c>
    </row>
    <row r="27" spans="1:12" ht="69.150000000000006" customHeight="1">
      <c r="A27" s="10" t="s">
        <v>195</v>
      </c>
      <c r="B27" s="4" t="s">
        <v>196</v>
      </c>
      <c r="C27" s="4" t="s">
        <v>197</v>
      </c>
      <c r="D27" s="4" t="s">
        <v>18</v>
      </c>
      <c r="E27" s="2" t="s">
        <v>198</v>
      </c>
      <c r="F27" s="2" t="s">
        <v>199</v>
      </c>
      <c r="G27" s="2" t="s">
        <v>200</v>
      </c>
      <c r="H27" s="2" t="s">
        <v>201</v>
      </c>
      <c r="I27" s="2" t="s">
        <v>202</v>
      </c>
      <c r="J27" s="2" t="s">
        <v>203</v>
      </c>
      <c r="K27" s="4" t="s">
        <v>25</v>
      </c>
      <c r="L27" s="11" t="s">
        <v>26</v>
      </c>
    </row>
    <row r="28" spans="1:12" ht="69.150000000000006" customHeight="1">
      <c r="A28" s="10" t="s">
        <v>204</v>
      </c>
      <c r="B28" s="4" t="s">
        <v>205</v>
      </c>
      <c r="C28" s="4" t="s">
        <v>206</v>
      </c>
      <c r="D28" s="4" t="s">
        <v>18</v>
      </c>
      <c r="E28" s="2" t="s">
        <v>207</v>
      </c>
      <c r="F28" s="2" t="s">
        <v>208</v>
      </c>
      <c r="G28" s="2" t="s">
        <v>209</v>
      </c>
      <c r="H28" s="2" t="s">
        <v>210</v>
      </c>
      <c r="I28" s="2" t="s">
        <v>211</v>
      </c>
      <c r="J28" s="2" t="s">
        <v>212</v>
      </c>
      <c r="K28" s="4" t="s">
        <v>25</v>
      </c>
      <c r="L28" s="11" t="s">
        <v>26</v>
      </c>
    </row>
    <row r="29" spans="1:12" ht="69.150000000000006" customHeight="1">
      <c r="A29" s="10" t="s">
        <v>213</v>
      </c>
      <c r="B29" s="4" t="s">
        <v>214</v>
      </c>
      <c r="C29" s="4" t="s">
        <v>17</v>
      </c>
      <c r="D29" s="4" t="s">
        <v>38</v>
      </c>
      <c r="E29" s="2" t="s">
        <v>215</v>
      </c>
      <c r="F29" s="2" t="s">
        <v>216</v>
      </c>
      <c r="G29" s="2" t="s">
        <v>217</v>
      </c>
      <c r="H29" s="2" t="s">
        <v>218</v>
      </c>
      <c r="I29" s="2" t="s">
        <v>219</v>
      </c>
      <c r="J29" s="2" t="s">
        <v>220</v>
      </c>
      <c r="K29" s="4" t="s">
        <v>25</v>
      </c>
      <c r="L29" s="11" t="s">
        <v>26</v>
      </c>
    </row>
    <row r="30" spans="1:12" ht="69.150000000000006" customHeight="1">
      <c r="A30" s="12" t="s">
        <v>221</v>
      </c>
      <c r="B30" s="13" t="s">
        <v>222</v>
      </c>
      <c r="C30" s="13" t="s">
        <v>223</v>
      </c>
      <c r="D30" s="13" t="s">
        <v>18</v>
      </c>
      <c r="E30" s="14" t="s">
        <v>224</v>
      </c>
      <c r="F30" s="14" t="s">
        <v>225</v>
      </c>
      <c r="G30" s="14" t="s">
        <v>226</v>
      </c>
      <c r="H30" s="14" t="s">
        <v>227</v>
      </c>
      <c r="I30" s="14" t="s">
        <v>228</v>
      </c>
      <c r="J30" s="14" t="s">
        <v>229</v>
      </c>
      <c r="K30" s="13" t="s">
        <v>25</v>
      </c>
      <c r="L30" s="15" t="s">
        <v>26</v>
      </c>
    </row>
  </sheetData>
  <mergeCells count="3">
    <mergeCell ref="A1:L1"/>
    <mergeCell ref="A2:L2"/>
    <mergeCell ref="A4:L4"/>
  </mergeCells>
  <conditionalFormatting sqref="K6:K31">
    <cfRule type="containsText" dxfId="8" priority="1" operator="containsText" text="Pass"/>
    <cfRule type="containsText" dxfId="7" priority="2" operator="containsText" text="Fail"/>
    <cfRule type="containsText" dxfId="6" priority="3" operator="containsText" text="Blocked"/>
    <cfRule type="containsText" dxfId="5" priority="4" operator="containsText" text="Not Executed"/>
  </conditionalFormatting>
  <dataValidations count="3">
    <dataValidation type="list" sqref="K6:K31" xr:uid="{00000000-0002-0000-0000-000000000000}">
      <formula1>"Not Executed,Pass,Fail,Blocked,Retest"</formula1>
    </dataValidation>
    <dataValidation type="list" sqref="D6:D31" xr:uid="{00000000-0002-0000-0000-000001000000}">
      <formula1>"High,Medium,Low"</formula1>
    </dataValidation>
    <dataValidation type="list" sqref="C6:C31" xr:uid="{00000000-0002-0000-0000-000002000000}">
      <formula1>"Functional,Data Quality,Model Evaluation,Integration,Notification,UI &amp; Usability,Performance,Reliability,Security,End-to-End"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3.8"/>
  <cols>
    <col min="1" max="1" width="24" customWidth="1"/>
    <col min="2" max="2" width="80" customWidth="1"/>
    <col min="4" max="4" width="18" customWidth="1"/>
    <col min="5" max="5" width="12" customWidth="1"/>
  </cols>
  <sheetData>
    <row r="1" spans="1:8" ht="16.649999999999999" customHeight="1">
      <c r="A1" s="35" t="s">
        <v>230</v>
      </c>
      <c r="B1" s="35"/>
      <c r="C1" s="35"/>
      <c r="D1" s="35"/>
      <c r="E1" s="35"/>
      <c r="F1" s="35"/>
      <c r="G1" s="35"/>
      <c r="H1" s="35"/>
    </row>
    <row r="2" spans="1:8" ht="20.55" customHeight="1">
      <c r="A2" s="36" t="s">
        <v>231</v>
      </c>
      <c r="B2" s="36"/>
      <c r="C2" s="36"/>
      <c r="D2" s="36"/>
      <c r="E2" s="36"/>
      <c r="F2" s="36"/>
      <c r="G2" s="36"/>
      <c r="H2" s="36"/>
    </row>
    <row r="4" spans="1:8" ht="14.1" customHeight="1">
      <c r="A4" s="16" t="s">
        <v>232</v>
      </c>
      <c r="B4" s="16" t="s">
        <v>233</v>
      </c>
      <c r="D4" s="16" t="s">
        <v>6</v>
      </c>
      <c r="E4" s="16" t="s">
        <v>234</v>
      </c>
    </row>
    <row r="5" spans="1:8" ht="14.1" customHeight="1">
      <c r="A5" s="18" t="s">
        <v>235</v>
      </c>
      <c r="B5" s="19">
        <f>COUNTA('Demand Forecasting Test Cases'!A6:A31)</f>
        <v>25</v>
      </c>
      <c r="D5" s="18" t="s">
        <v>18</v>
      </c>
      <c r="E5" s="19">
        <f>COUNTIF('Demand Forecasting Test Cases'!D6:D31,D5)</f>
        <v>19</v>
      </c>
    </row>
    <row r="6" spans="1:8" ht="14.1" customHeight="1">
      <c r="A6" s="20" t="s">
        <v>236</v>
      </c>
      <c r="B6" s="21">
        <f>COUNTIF('Demand Forecasting Test Cases'!K6:K31,"Not Executed")</f>
        <v>0</v>
      </c>
      <c r="D6" s="20" t="s">
        <v>38</v>
      </c>
      <c r="E6" s="21">
        <f>COUNTIF('Demand Forecasting Test Cases'!D6:D31,D6)</f>
        <v>6</v>
      </c>
    </row>
    <row r="7" spans="1:8" ht="14.1" customHeight="1">
      <c r="A7" s="20" t="s">
        <v>25</v>
      </c>
      <c r="B7" s="21">
        <f>COUNTIF('Demand Forecasting Test Cases'!K6:K31,"Pass")</f>
        <v>25</v>
      </c>
      <c r="D7" s="22" t="s">
        <v>237</v>
      </c>
      <c r="E7" s="23">
        <f>COUNTIF('Demand Forecasting Test Cases'!D6:D31,D7)</f>
        <v>0</v>
      </c>
    </row>
    <row r="8" spans="1:8" ht="14.1" customHeight="1">
      <c r="A8" s="20" t="s">
        <v>238</v>
      </c>
      <c r="B8" s="21">
        <f>COUNTIF('Demand Forecasting Test Cases'!K6:K31,"Fail")</f>
        <v>0</v>
      </c>
    </row>
    <row r="9" spans="1:8" ht="14.1" customHeight="1">
      <c r="A9" s="20" t="s">
        <v>239</v>
      </c>
      <c r="B9" s="21">
        <f>COUNTIF('Demand Forecasting Test Cases'!K6:K31,"Blocked")</f>
        <v>0</v>
      </c>
    </row>
    <row r="10" spans="1:8" ht="14.1" customHeight="1">
      <c r="A10" s="20" t="s">
        <v>240</v>
      </c>
      <c r="B10" s="21">
        <f>COUNTIF('Demand Forecasting Test Cases'!K6:K31,"Retest")</f>
        <v>0</v>
      </c>
    </row>
    <row r="11" spans="1:8" ht="14.1" customHeight="1">
      <c r="A11" s="22" t="s">
        <v>241</v>
      </c>
      <c r="B11" s="30">
        <f>IF(B5=0,0,(B7+B8+B9+B10)/B5)</f>
        <v>1</v>
      </c>
    </row>
    <row r="13" spans="1:8">
      <c r="A13" s="17" t="s">
        <v>242</v>
      </c>
      <c r="B13" s="17" t="s">
        <v>243</v>
      </c>
    </row>
    <row r="14" spans="1:8" ht="35.85" customHeight="1">
      <c r="A14" s="24" t="s">
        <v>244</v>
      </c>
      <c r="B14" s="25" t="s">
        <v>245</v>
      </c>
    </row>
    <row r="15" spans="1:8" ht="35.85" customHeight="1">
      <c r="A15" s="26" t="s">
        <v>246</v>
      </c>
      <c r="B15" s="27" t="s">
        <v>247</v>
      </c>
    </row>
    <row r="16" spans="1:8" ht="35.85" customHeight="1">
      <c r="A16" s="28" t="s">
        <v>248</v>
      </c>
      <c r="B16" s="29" t="s">
        <v>249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H26" workbookViewId="0">
      <selection activeCell="A6" sqref="A6:L30"/>
    </sheetView>
  </sheetViews>
  <sheetFormatPr defaultRowHeight="13.8"/>
  <cols>
    <col min="1" max="1" width="14" customWidth="1"/>
    <col min="2" max="2" width="30" customWidth="1"/>
    <col min="3" max="3" width="16" customWidth="1"/>
    <col min="4" max="4" width="12" customWidth="1"/>
    <col min="5" max="6" width="38" customWidth="1"/>
    <col min="7" max="7" width="42" customWidth="1"/>
    <col min="8" max="8" width="34" customWidth="1"/>
    <col min="9" max="10" width="42" customWidth="1"/>
    <col min="11" max="11" width="14" customWidth="1"/>
    <col min="12" max="12" width="34" customWidth="1"/>
  </cols>
  <sheetData>
    <row r="1" spans="1:12" ht="19.2" customHeight="1">
      <c r="A1" s="38" t="s">
        <v>250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27.15" customHeight="1">
      <c r="A2" s="39" t="s">
        <v>251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4" spans="1:12" ht="16.0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ht="22.35" customHeight="1">
      <c r="A5" s="31" t="s">
        <v>3</v>
      </c>
      <c r="B5" s="31" t="s">
        <v>4</v>
      </c>
      <c r="C5" s="31" t="s">
        <v>5</v>
      </c>
      <c r="D5" s="31" t="s">
        <v>6</v>
      </c>
      <c r="E5" s="31" t="s">
        <v>7</v>
      </c>
      <c r="F5" s="31" t="s">
        <v>8</v>
      </c>
      <c r="G5" s="31" t="s">
        <v>9</v>
      </c>
      <c r="H5" s="31" t="s">
        <v>10</v>
      </c>
      <c r="I5" s="31" t="s">
        <v>11</v>
      </c>
      <c r="J5" s="31" t="s">
        <v>12</v>
      </c>
      <c r="K5" s="31" t="s">
        <v>13</v>
      </c>
      <c r="L5" s="31" t="s">
        <v>14</v>
      </c>
    </row>
    <row r="6" spans="1:12" ht="68.849999999999994" customHeight="1">
      <c r="A6" s="32" t="s">
        <v>252</v>
      </c>
      <c r="B6" s="32" t="s">
        <v>253</v>
      </c>
      <c r="C6" s="32" t="s">
        <v>17</v>
      </c>
      <c r="D6" s="32" t="s">
        <v>18</v>
      </c>
      <c r="E6" s="32" t="s">
        <v>254</v>
      </c>
      <c r="F6" s="32" t="s">
        <v>255</v>
      </c>
      <c r="G6" s="32" t="s">
        <v>256</v>
      </c>
      <c r="H6" s="32" t="s">
        <v>257</v>
      </c>
      <c r="I6" s="32" t="s">
        <v>258</v>
      </c>
      <c r="J6" s="32" t="s">
        <v>259</v>
      </c>
      <c r="K6" s="32" t="s">
        <v>25</v>
      </c>
      <c r="L6" s="32" t="s">
        <v>260</v>
      </c>
    </row>
    <row r="7" spans="1:12" ht="68.849999999999994" customHeight="1">
      <c r="A7" s="32" t="s">
        <v>261</v>
      </c>
      <c r="B7" s="32" t="s">
        <v>262</v>
      </c>
      <c r="C7" s="32" t="s">
        <v>17</v>
      </c>
      <c r="D7" s="32" t="s">
        <v>18</v>
      </c>
      <c r="E7" s="32" t="s">
        <v>263</v>
      </c>
      <c r="F7" s="32" t="s">
        <v>264</v>
      </c>
      <c r="G7" s="32" t="s">
        <v>265</v>
      </c>
      <c r="H7" s="32" t="s">
        <v>266</v>
      </c>
      <c r="I7" s="32" t="s">
        <v>267</v>
      </c>
      <c r="J7" s="32" t="s">
        <v>268</v>
      </c>
      <c r="K7" s="32" t="s">
        <v>25</v>
      </c>
      <c r="L7" s="32" t="s">
        <v>269</v>
      </c>
    </row>
    <row r="8" spans="1:12" ht="68.849999999999994" customHeight="1">
      <c r="A8" s="32" t="s">
        <v>270</v>
      </c>
      <c r="B8" s="32" t="s">
        <v>271</v>
      </c>
      <c r="C8" s="32" t="s">
        <v>17</v>
      </c>
      <c r="D8" s="32" t="s">
        <v>18</v>
      </c>
      <c r="E8" s="32" t="s">
        <v>272</v>
      </c>
      <c r="F8" s="32" t="s">
        <v>273</v>
      </c>
      <c r="G8" s="32" t="s">
        <v>274</v>
      </c>
      <c r="H8" s="32" t="s">
        <v>275</v>
      </c>
      <c r="I8" s="32" t="s">
        <v>276</v>
      </c>
      <c r="J8" s="32" t="s">
        <v>277</v>
      </c>
      <c r="K8" s="32" t="s">
        <v>25</v>
      </c>
      <c r="L8" s="32" t="s">
        <v>278</v>
      </c>
    </row>
    <row r="9" spans="1:12" ht="68.849999999999994" customHeight="1">
      <c r="A9" s="32" t="s">
        <v>279</v>
      </c>
      <c r="B9" s="32" t="s">
        <v>280</v>
      </c>
      <c r="C9" s="32" t="s">
        <v>17</v>
      </c>
      <c r="D9" s="32" t="s">
        <v>18</v>
      </c>
      <c r="E9" s="32" t="s">
        <v>281</v>
      </c>
      <c r="F9" s="32" t="s">
        <v>282</v>
      </c>
      <c r="G9" s="32" t="s">
        <v>283</v>
      </c>
      <c r="H9" s="32" t="s">
        <v>284</v>
      </c>
      <c r="I9" s="32" t="s">
        <v>285</v>
      </c>
      <c r="J9" s="32" t="s">
        <v>286</v>
      </c>
      <c r="K9" s="32" t="s">
        <v>25</v>
      </c>
      <c r="L9" s="32" t="s">
        <v>287</v>
      </c>
    </row>
    <row r="10" spans="1:12" ht="68.849999999999994" customHeight="1">
      <c r="A10" s="32" t="s">
        <v>288</v>
      </c>
      <c r="B10" s="32" t="s">
        <v>289</v>
      </c>
      <c r="C10" s="32" t="s">
        <v>17</v>
      </c>
      <c r="D10" s="32" t="s">
        <v>18</v>
      </c>
      <c r="E10" s="32" t="s">
        <v>290</v>
      </c>
      <c r="F10" s="32" t="s">
        <v>291</v>
      </c>
      <c r="G10" s="32" t="s">
        <v>292</v>
      </c>
      <c r="H10" s="32" t="s">
        <v>293</v>
      </c>
      <c r="I10" s="32" t="s">
        <v>294</v>
      </c>
      <c r="J10" s="32" t="s">
        <v>295</v>
      </c>
      <c r="K10" s="32" t="s">
        <v>25</v>
      </c>
      <c r="L10" s="32" t="s">
        <v>296</v>
      </c>
    </row>
    <row r="11" spans="1:12" ht="68.849999999999994" customHeight="1">
      <c r="A11" s="32" t="s">
        <v>297</v>
      </c>
      <c r="B11" s="32" t="s">
        <v>298</v>
      </c>
      <c r="C11" s="32" t="s">
        <v>17</v>
      </c>
      <c r="D11" s="32" t="s">
        <v>18</v>
      </c>
      <c r="E11" s="32" t="s">
        <v>299</v>
      </c>
      <c r="F11" s="32" t="s">
        <v>300</v>
      </c>
      <c r="G11" s="32" t="s">
        <v>301</v>
      </c>
      <c r="H11" s="32" t="s">
        <v>302</v>
      </c>
      <c r="I11" s="32" t="s">
        <v>303</v>
      </c>
      <c r="J11" s="32" t="s">
        <v>304</v>
      </c>
      <c r="K11" s="32" t="s">
        <v>25</v>
      </c>
      <c r="L11" s="32" t="s">
        <v>305</v>
      </c>
    </row>
    <row r="12" spans="1:12" ht="68.849999999999994" customHeight="1">
      <c r="A12" s="32" t="s">
        <v>306</v>
      </c>
      <c r="B12" s="32" t="s">
        <v>307</v>
      </c>
      <c r="C12" s="32" t="s">
        <v>17</v>
      </c>
      <c r="D12" s="32" t="s">
        <v>18</v>
      </c>
      <c r="E12" s="32" t="s">
        <v>308</v>
      </c>
      <c r="F12" s="32" t="s">
        <v>309</v>
      </c>
      <c r="G12" s="32" t="s">
        <v>310</v>
      </c>
      <c r="H12" s="32" t="s">
        <v>311</v>
      </c>
      <c r="I12" s="32" t="s">
        <v>312</v>
      </c>
      <c r="J12" s="32" t="s">
        <v>313</v>
      </c>
      <c r="K12" s="32" t="s">
        <v>25</v>
      </c>
      <c r="L12" s="32" t="s">
        <v>314</v>
      </c>
    </row>
    <row r="13" spans="1:12" ht="68.849999999999994" customHeight="1">
      <c r="A13" s="32" t="s">
        <v>315</v>
      </c>
      <c r="B13" s="32" t="s">
        <v>316</v>
      </c>
      <c r="C13" s="32" t="s">
        <v>317</v>
      </c>
      <c r="D13" s="32" t="s">
        <v>18</v>
      </c>
      <c r="E13" s="32" t="s">
        <v>318</v>
      </c>
      <c r="F13" s="32" t="s">
        <v>319</v>
      </c>
      <c r="G13" s="32" t="s">
        <v>320</v>
      </c>
      <c r="H13" s="32" t="s">
        <v>321</v>
      </c>
      <c r="I13" s="32" t="s">
        <v>322</v>
      </c>
      <c r="J13" s="32" t="s">
        <v>323</v>
      </c>
      <c r="K13" s="32" t="s">
        <v>25</v>
      </c>
      <c r="L13" s="32" t="s">
        <v>324</v>
      </c>
    </row>
    <row r="14" spans="1:12" ht="68.849999999999994" customHeight="1">
      <c r="A14" s="32" t="s">
        <v>325</v>
      </c>
      <c r="B14" s="32" t="s">
        <v>326</v>
      </c>
      <c r="C14" s="32" t="s">
        <v>17</v>
      </c>
      <c r="D14" s="32" t="s">
        <v>18</v>
      </c>
      <c r="E14" s="32" t="s">
        <v>327</v>
      </c>
      <c r="F14" s="32" t="s">
        <v>328</v>
      </c>
      <c r="G14" s="32" t="s">
        <v>329</v>
      </c>
      <c r="H14" s="32" t="s">
        <v>330</v>
      </c>
      <c r="I14" s="32" t="s">
        <v>331</v>
      </c>
      <c r="J14" s="32" t="s">
        <v>332</v>
      </c>
      <c r="K14" s="32" t="s">
        <v>25</v>
      </c>
      <c r="L14" s="32" t="s">
        <v>333</v>
      </c>
    </row>
    <row r="15" spans="1:12" ht="68.849999999999994" customHeight="1">
      <c r="A15" s="32" t="s">
        <v>334</v>
      </c>
      <c r="B15" s="32" t="s">
        <v>335</v>
      </c>
      <c r="C15" s="32" t="s">
        <v>17</v>
      </c>
      <c r="D15" s="32" t="s">
        <v>18</v>
      </c>
      <c r="E15" s="32" t="s">
        <v>336</v>
      </c>
      <c r="F15" s="32" t="s">
        <v>337</v>
      </c>
      <c r="G15" s="32" t="s">
        <v>338</v>
      </c>
      <c r="H15" s="32" t="s">
        <v>339</v>
      </c>
      <c r="I15" s="32" t="s">
        <v>340</v>
      </c>
      <c r="J15" s="32" t="s">
        <v>341</v>
      </c>
      <c r="K15" s="32" t="s">
        <v>25</v>
      </c>
      <c r="L15" s="32" t="s">
        <v>342</v>
      </c>
    </row>
    <row r="16" spans="1:12" ht="68.849999999999994" customHeight="1">
      <c r="A16" s="32" t="s">
        <v>343</v>
      </c>
      <c r="B16" s="32" t="s">
        <v>344</v>
      </c>
      <c r="C16" s="32" t="s">
        <v>17</v>
      </c>
      <c r="D16" s="32" t="s">
        <v>18</v>
      </c>
      <c r="E16" s="32" t="s">
        <v>345</v>
      </c>
      <c r="F16" s="32" t="s">
        <v>346</v>
      </c>
      <c r="G16" s="32" t="s">
        <v>347</v>
      </c>
      <c r="H16" s="32" t="s">
        <v>348</v>
      </c>
      <c r="I16" s="32" t="s">
        <v>349</v>
      </c>
      <c r="J16" s="32" t="s">
        <v>350</v>
      </c>
      <c r="K16" s="32" t="s">
        <v>25</v>
      </c>
      <c r="L16" s="32" t="s">
        <v>351</v>
      </c>
    </row>
    <row r="17" spans="1:12" ht="68.849999999999994" customHeight="1">
      <c r="A17" s="32" t="s">
        <v>352</v>
      </c>
      <c r="B17" s="32" t="s">
        <v>353</v>
      </c>
      <c r="C17" s="32" t="s">
        <v>17</v>
      </c>
      <c r="D17" s="32" t="s">
        <v>38</v>
      </c>
      <c r="E17" s="32" t="s">
        <v>354</v>
      </c>
      <c r="F17" s="32" t="s">
        <v>355</v>
      </c>
      <c r="G17" s="32" t="s">
        <v>356</v>
      </c>
      <c r="H17" s="32" t="s">
        <v>357</v>
      </c>
      <c r="I17" s="32" t="s">
        <v>358</v>
      </c>
      <c r="J17" s="32" t="s">
        <v>359</v>
      </c>
      <c r="K17" s="32" t="s">
        <v>25</v>
      </c>
      <c r="L17" s="32" t="s">
        <v>360</v>
      </c>
    </row>
    <row r="18" spans="1:12" ht="68.849999999999994" customHeight="1">
      <c r="A18" s="32" t="s">
        <v>361</v>
      </c>
      <c r="B18" s="32" t="s">
        <v>362</v>
      </c>
      <c r="C18" s="32" t="s">
        <v>17</v>
      </c>
      <c r="D18" s="32" t="s">
        <v>18</v>
      </c>
      <c r="E18" s="32" t="s">
        <v>363</v>
      </c>
      <c r="F18" s="32" t="s">
        <v>364</v>
      </c>
      <c r="G18" s="32" t="s">
        <v>365</v>
      </c>
      <c r="H18" s="32" t="s">
        <v>366</v>
      </c>
      <c r="I18" s="32" t="s">
        <v>367</v>
      </c>
      <c r="J18" s="32" t="s">
        <v>368</v>
      </c>
      <c r="K18" s="32" t="s">
        <v>25</v>
      </c>
      <c r="L18" s="32" t="s">
        <v>369</v>
      </c>
    </row>
    <row r="19" spans="1:12" ht="68.849999999999994" customHeight="1">
      <c r="A19" s="32" t="s">
        <v>370</v>
      </c>
      <c r="B19" s="32" t="s">
        <v>371</v>
      </c>
      <c r="C19" s="32" t="s">
        <v>17</v>
      </c>
      <c r="D19" s="32" t="s">
        <v>18</v>
      </c>
      <c r="E19" s="32" t="s">
        <v>372</v>
      </c>
      <c r="F19" s="32" t="s">
        <v>373</v>
      </c>
      <c r="G19" s="32" t="s">
        <v>374</v>
      </c>
      <c r="H19" s="32" t="s">
        <v>375</v>
      </c>
      <c r="I19" s="32" t="s">
        <v>376</v>
      </c>
      <c r="J19" s="32" t="s">
        <v>377</v>
      </c>
      <c r="K19" s="32" t="s">
        <v>25</v>
      </c>
      <c r="L19" s="32" t="s">
        <v>378</v>
      </c>
    </row>
    <row r="20" spans="1:12" ht="68.849999999999994" customHeight="1">
      <c r="A20" s="32" t="s">
        <v>379</v>
      </c>
      <c r="B20" s="32" t="s">
        <v>380</v>
      </c>
      <c r="C20" s="32" t="s">
        <v>317</v>
      </c>
      <c r="D20" s="32" t="s">
        <v>18</v>
      </c>
      <c r="E20" s="32" t="s">
        <v>381</v>
      </c>
      <c r="F20" s="32" t="s">
        <v>382</v>
      </c>
      <c r="G20" s="32" t="s">
        <v>383</v>
      </c>
      <c r="H20" s="32" t="s">
        <v>384</v>
      </c>
      <c r="I20" s="32" t="s">
        <v>385</v>
      </c>
      <c r="J20" s="32" t="s">
        <v>386</v>
      </c>
      <c r="K20" s="32" t="s">
        <v>25</v>
      </c>
      <c r="L20" s="32" t="s">
        <v>387</v>
      </c>
    </row>
    <row r="21" spans="1:12" ht="68.849999999999994" customHeight="1">
      <c r="A21" s="32" t="s">
        <v>388</v>
      </c>
      <c r="B21" s="32" t="s">
        <v>389</v>
      </c>
      <c r="C21" s="32" t="s">
        <v>17</v>
      </c>
      <c r="D21" s="32" t="s">
        <v>38</v>
      </c>
      <c r="E21" s="32" t="s">
        <v>390</v>
      </c>
      <c r="F21" s="32" t="s">
        <v>391</v>
      </c>
      <c r="G21" s="32" t="s">
        <v>392</v>
      </c>
      <c r="H21" s="32" t="s">
        <v>393</v>
      </c>
      <c r="I21" s="32" t="s">
        <v>394</v>
      </c>
      <c r="J21" s="32" t="s">
        <v>395</v>
      </c>
      <c r="K21" s="32" t="s">
        <v>25</v>
      </c>
      <c r="L21" s="32" t="s">
        <v>396</v>
      </c>
    </row>
    <row r="22" spans="1:12" ht="68.849999999999994" customHeight="1">
      <c r="A22" s="32" t="s">
        <v>397</v>
      </c>
      <c r="B22" s="32" t="s">
        <v>398</v>
      </c>
      <c r="C22" s="32" t="s">
        <v>17</v>
      </c>
      <c r="D22" s="32" t="s">
        <v>38</v>
      </c>
      <c r="E22" s="32" t="s">
        <v>399</v>
      </c>
      <c r="F22" s="32" t="s">
        <v>400</v>
      </c>
      <c r="G22" s="32" t="s">
        <v>401</v>
      </c>
      <c r="H22" s="32" t="s">
        <v>402</v>
      </c>
      <c r="I22" s="32" t="s">
        <v>403</v>
      </c>
      <c r="J22" s="32" t="s">
        <v>404</v>
      </c>
      <c r="K22" s="32" t="s">
        <v>25</v>
      </c>
      <c r="L22" s="32" t="s">
        <v>405</v>
      </c>
    </row>
    <row r="23" spans="1:12" ht="68.849999999999994" customHeight="1">
      <c r="A23" s="32" t="s">
        <v>406</v>
      </c>
      <c r="B23" s="32" t="s">
        <v>407</v>
      </c>
      <c r="C23" s="32" t="s">
        <v>17</v>
      </c>
      <c r="D23" s="32" t="s">
        <v>18</v>
      </c>
      <c r="E23" s="32" t="s">
        <v>408</v>
      </c>
      <c r="F23" s="32" t="s">
        <v>409</v>
      </c>
      <c r="G23" s="32" t="s">
        <v>410</v>
      </c>
      <c r="H23" s="32" t="s">
        <v>411</v>
      </c>
      <c r="I23" s="32" t="s">
        <v>412</v>
      </c>
      <c r="J23" s="32" t="s">
        <v>413</v>
      </c>
      <c r="K23" s="32" t="s">
        <v>25</v>
      </c>
      <c r="L23" s="32" t="s">
        <v>414</v>
      </c>
    </row>
    <row r="24" spans="1:12" ht="68.849999999999994" customHeight="1">
      <c r="A24" s="32" t="s">
        <v>415</v>
      </c>
      <c r="B24" s="32" t="s">
        <v>416</v>
      </c>
      <c r="C24" s="32" t="s">
        <v>17</v>
      </c>
      <c r="D24" s="32" t="s">
        <v>38</v>
      </c>
      <c r="E24" s="32" t="s">
        <v>417</v>
      </c>
      <c r="F24" s="32" t="s">
        <v>418</v>
      </c>
      <c r="G24" s="32" t="s">
        <v>419</v>
      </c>
      <c r="H24" s="32" t="s">
        <v>420</v>
      </c>
      <c r="I24" s="32" t="s">
        <v>421</v>
      </c>
      <c r="J24" s="32" t="s">
        <v>422</v>
      </c>
      <c r="K24" s="32" t="s">
        <v>25</v>
      </c>
      <c r="L24" s="32" t="s">
        <v>423</v>
      </c>
    </row>
    <row r="25" spans="1:12" ht="68.849999999999994" customHeight="1">
      <c r="A25" s="32" t="s">
        <v>424</v>
      </c>
      <c r="B25" s="32" t="s">
        <v>425</v>
      </c>
      <c r="C25" s="32" t="s">
        <v>17</v>
      </c>
      <c r="D25" s="32" t="s">
        <v>38</v>
      </c>
      <c r="E25" s="32" t="s">
        <v>426</v>
      </c>
      <c r="F25" s="32" t="s">
        <v>427</v>
      </c>
      <c r="G25" s="32" t="s">
        <v>428</v>
      </c>
      <c r="H25" s="32" t="s">
        <v>429</v>
      </c>
      <c r="I25" s="32" t="s">
        <v>430</v>
      </c>
      <c r="J25" s="32" t="s">
        <v>431</v>
      </c>
      <c r="K25" s="32" t="s">
        <v>25</v>
      </c>
      <c r="L25" s="32" t="s">
        <v>432</v>
      </c>
    </row>
    <row r="26" spans="1:12" ht="68.849999999999994" customHeight="1">
      <c r="A26" s="32" t="s">
        <v>433</v>
      </c>
      <c r="B26" s="32" t="s">
        <v>434</v>
      </c>
      <c r="C26" s="32" t="s">
        <v>17</v>
      </c>
      <c r="D26" s="32" t="s">
        <v>18</v>
      </c>
      <c r="E26" s="32" t="s">
        <v>435</v>
      </c>
      <c r="F26" s="32" t="s">
        <v>436</v>
      </c>
      <c r="G26" s="32" t="s">
        <v>437</v>
      </c>
      <c r="H26" s="32" t="s">
        <v>438</v>
      </c>
      <c r="I26" s="32" t="s">
        <v>439</v>
      </c>
      <c r="J26" s="32" t="s">
        <v>440</v>
      </c>
      <c r="K26" s="32" t="s">
        <v>25</v>
      </c>
      <c r="L26" s="32" t="s">
        <v>441</v>
      </c>
    </row>
    <row r="27" spans="1:12" ht="68.849999999999994" customHeight="1">
      <c r="A27" s="32" t="s">
        <v>442</v>
      </c>
      <c r="B27" s="32" t="s">
        <v>443</v>
      </c>
      <c r="C27" s="32" t="s">
        <v>88</v>
      </c>
      <c r="D27" s="32" t="s">
        <v>18</v>
      </c>
      <c r="E27" s="32" t="s">
        <v>444</v>
      </c>
      <c r="F27" s="32" t="s">
        <v>445</v>
      </c>
      <c r="G27" s="32" t="s">
        <v>446</v>
      </c>
      <c r="H27" s="32" t="s">
        <v>447</v>
      </c>
      <c r="I27" s="32" t="s">
        <v>448</v>
      </c>
      <c r="J27" s="32" t="s">
        <v>449</v>
      </c>
      <c r="K27" s="32" t="s">
        <v>25</v>
      </c>
      <c r="L27" s="32" t="s">
        <v>450</v>
      </c>
    </row>
    <row r="28" spans="1:12" ht="68.849999999999994" customHeight="1">
      <c r="A28" s="32" t="s">
        <v>451</v>
      </c>
      <c r="B28" s="32" t="s">
        <v>452</v>
      </c>
      <c r="C28" s="32" t="s">
        <v>88</v>
      </c>
      <c r="D28" s="32" t="s">
        <v>38</v>
      </c>
      <c r="E28" s="32" t="s">
        <v>453</v>
      </c>
      <c r="F28" s="32" t="s">
        <v>454</v>
      </c>
      <c r="G28" s="32" t="s">
        <v>455</v>
      </c>
      <c r="H28" s="32" t="s">
        <v>456</v>
      </c>
      <c r="I28" s="32" t="s">
        <v>457</v>
      </c>
      <c r="J28" s="32" t="s">
        <v>458</v>
      </c>
      <c r="K28" s="32" t="s">
        <v>25</v>
      </c>
      <c r="L28" s="32" t="s">
        <v>459</v>
      </c>
    </row>
    <row r="29" spans="1:12" ht="68.849999999999994" customHeight="1">
      <c r="A29" s="32" t="s">
        <v>460</v>
      </c>
      <c r="B29" s="32" t="s">
        <v>461</v>
      </c>
      <c r="C29" s="32" t="s">
        <v>197</v>
      </c>
      <c r="D29" s="32" t="s">
        <v>18</v>
      </c>
      <c r="E29" s="32" t="s">
        <v>462</v>
      </c>
      <c r="F29" s="32" t="s">
        <v>463</v>
      </c>
      <c r="G29" s="32" t="s">
        <v>464</v>
      </c>
      <c r="H29" s="32" t="s">
        <v>465</v>
      </c>
      <c r="I29" s="32" t="s">
        <v>466</v>
      </c>
      <c r="J29" s="32" t="s">
        <v>467</v>
      </c>
      <c r="K29" s="32" t="s">
        <v>25</v>
      </c>
      <c r="L29" s="32" t="s">
        <v>468</v>
      </c>
    </row>
    <row r="30" spans="1:12" ht="68.849999999999994" customHeight="1">
      <c r="A30" s="32" t="s">
        <v>469</v>
      </c>
      <c r="B30" s="32" t="s">
        <v>470</v>
      </c>
      <c r="C30" s="32" t="s">
        <v>471</v>
      </c>
      <c r="D30" s="32" t="s">
        <v>18</v>
      </c>
      <c r="E30" s="32" t="s">
        <v>472</v>
      </c>
      <c r="F30" s="32" t="s">
        <v>473</v>
      </c>
      <c r="G30" s="32" t="s">
        <v>474</v>
      </c>
      <c r="H30" s="32" t="s">
        <v>475</v>
      </c>
      <c r="I30" s="32" t="s">
        <v>476</v>
      </c>
      <c r="J30" s="32" t="s">
        <v>477</v>
      </c>
      <c r="K30" s="32" t="s">
        <v>25</v>
      </c>
      <c r="L30" s="32" t="s">
        <v>478</v>
      </c>
    </row>
  </sheetData>
  <mergeCells count="3">
    <mergeCell ref="A1:L1"/>
    <mergeCell ref="A2:L2"/>
    <mergeCell ref="A4:L4"/>
  </mergeCells>
  <phoneticPr fontId="12" type="noConversion"/>
  <conditionalFormatting sqref="K6:K30">
    <cfRule type="expression" dxfId="3" priority="1">
      <formula>K6="Pass"</formula>
    </cfRule>
    <cfRule type="expression" dxfId="2" priority="2">
      <formula>K6="Fail"</formula>
    </cfRule>
    <cfRule type="expression" dxfId="1" priority="3">
      <formula>K6="Blocked"</formula>
    </cfRule>
    <cfRule type="expression" dxfId="0" priority="4">
      <formula>K6="Retest"</formula>
    </cfRule>
  </conditionalFormatting>
  <dataValidations count="2">
    <dataValidation type="list" sqref="K6:K30" xr:uid="{00000000-0002-0000-0200-000000000000}">
      <formula1>"Pass,Fail,Blocked,Retest,Not Executed"</formula1>
    </dataValidation>
    <dataValidation type="list" sqref="D6:D30" xr:uid="{00000000-0002-0000-02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tabSelected="1" topLeftCell="A17" workbookViewId="0">
      <selection activeCell="G29" sqref="G29"/>
    </sheetView>
  </sheetViews>
  <sheetFormatPr defaultRowHeight="13.8"/>
  <cols>
    <col min="1" max="1" width="38" customWidth="1"/>
    <col min="2" max="4" width="18" customWidth="1"/>
    <col min="5" max="5" width="12" customWidth="1"/>
  </cols>
  <sheetData>
    <row r="1" spans="1:5" ht="17.399999999999999">
      <c r="A1" s="38" t="s">
        <v>479</v>
      </c>
      <c r="B1" s="38"/>
      <c r="C1" s="38"/>
      <c r="D1" s="38"/>
      <c r="E1" s="38"/>
    </row>
    <row r="2" spans="1:5">
      <c r="A2" s="39" t="s">
        <v>480</v>
      </c>
      <c r="B2" s="39"/>
      <c r="C2" s="39"/>
      <c r="D2" s="39"/>
      <c r="E2" s="39"/>
    </row>
    <row r="4" spans="1:5">
      <c r="A4" s="31" t="s">
        <v>232</v>
      </c>
      <c r="B4" s="31" t="s">
        <v>233</v>
      </c>
      <c r="D4" s="31" t="s">
        <v>6</v>
      </c>
      <c r="E4" s="31" t="s">
        <v>234</v>
      </c>
    </row>
    <row r="5" spans="1:5">
      <c r="A5" s="32" t="s">
        <v>235</v>
      </c>
      <c r="B5" s="32">
        <f>COUNTA('Logistics Test Cases'!A6:A30)</f>
        <v>25</v>
      </c>
      <c r="C5" s="32"/>
      <c r="D5" s="32" t="s">
        <v>18</v>
      </c>
      <c r="E5" s="32">
        <f>COUNTIF('Logistics Test Cases'!D6:D30,"High")</f>
        <v>19</v>
      </c>
    </row>
    <row r="6" spans="1:5">
      <c r="A6" s="32" t="s">
        <v>236</v>
      </c>
      <c r="B6" s="32">
        <f>COUNTIF('Logistics Test Cases'!K6:K30,"Not Executed")</f>
        <v>0</v>
      </c>
      <c r="C6" s="32"/>
      <c r="D6" s="32" t="s">
        <v>38</v>
      </c>
      <c r="E6" s="32">
        <f>COUNTIF('Logistics Test Cases'!D6:D30,"Medium")</f>
        <v>6</v>
      </c>
    </row>
    <row r="7" spans="1:5">
      <c r="A7" s="32" t="s">
        <v>25</v>
      </c>
      <c r="B7" s="32">
        <f>COUNTIF('Logistics Test Cases'!K6:K30,"Pass")</f>
        <v>25</v>
      </c>
      <c r="C7" s="32"/>
      <c r="D7" s="32" t="s">
        <v>237</v>
      </c>
      <c r="E7" s="32">
        <f>COUNTIF('Logistics Test Cases'!D6:D30,"Low")</f>
        <v>0</v>
      </c>
    </row>
    <row r="8" spans="1:5">
      <c r="A8" s="32" t="s">
        <v>238</v>
      </c>
      <c r="B8" s="32">
        <f>COUNTIF('Logistics Test Cases'!K6:K30,"Fail")</f>
        <v>0</v>
      </c>
      <c r="C8" s="32"/>
      <c r="D8" s="32"/>
      <c r="E8" s="32"/>
    </row>
    <row r="9" spans="1:5">
      <c r="A9" s="32" t="s">
        <v>239</v>
      </c>
      <c r="B9" s="32">
        <f>COUNTIF('Logistics Test Cases'!K6:K30,"Blocked")</f>
        <v>0</v>
      </c>
      <c r="C9" s="32"/>
      <c r="D9" s="32"/>
      <c r="E9" s="32"/>
    </row>
    <row r="10" spans="1:5">
      <c r="A10" s="32" t="s">
        <v>240</v>
      </c>
      <c r="B10" s="32">
        <f>COUNTIF('Logistics Test Cases'!K6:K30,"Retest")</f>
        <v>0</v>
      </c>
      <c r="C10" s="32"/>
      <c r="D10" s="32"/>
      <c r="E10" s="32"/>
    </row>
    <row r="11" spans="1:5">
      <c r="A11" s="32" t="s">
        <v>241</v>
      </c>
      <c r="B11" s="34">
        <f>IF(B5=0,0,(B7+B8+B9+B10)/B5)</f>
        <v>1</v>
      </c>
      <c r="C11" s="32"/>
      <c r="D11" s="32"/>
      <c r="E11" s="32"/>
    </row>
    <row r="12" spans="1:5">
      <c r="A12" s="32"/>
      <c r="B12" s="32"/>
      <c r="C12" s="32"/>
      <c r="D12" s="32"/>
      <c r="E12" s="32"/>
    </row>
    <row r="13" spans="1:5" ht="30.45" customHeight="1">
      <c r="A13" s="33" t="s">
        <v>481</v>
      </c>
      <c r="B13" s="33" t="s">
        <v>482</v>
      </c>
      <c r="C13" s="33" t="s">
        <v>483</v>
      </c>
      <c r="D13" s="33" t="s">
        <v>484</v>
      </c>
      <c r="E13" s="33" t="s">
        <v>485</v>
      </c>
    </row>
    <row r="14" spans="1:5" ht="30.45" customHeight="1">
      <c r="A14" s="32" t="s">
        <v>486</v>
      </c>
      <c r="B14" s="32" t="s">
        <v>487</v>
      </c>
      <c r="C14" s="32" t="s">
        <v>488</v>
      </c>
      <c r="D14" s="32" t="s">
        <v>489</v>
      </c>
      <c r="E14" s="32" t="s">
        <v>490</v>
      </c>
    </row>
    <row r="15" spans="1:5" ht="30.45" customHeight="1">
      <c r="A15" s="32" t="s">
        <v>491</v>
      </c>
      <c r="B15" s="32" t="s">
        <v>492</v>
      </c>
      <c r="C15" s="32" t="s">
        <v>493</v>
      </c>
      <c r="D15" s="32" t="s">
        <v>494</v>
      </c>
      <c r="E15" s="32" t="s">
        <v>490</v>
      </c>
    </row>
    <row r="16" spans="1:5" ht="30.45" customHeight="1">
      <c r="A16" s="32" t="s">
        <v>495</v>
      </c>
      <c r="B16" s="32" t="s">
        <v>496</v>
      </c>
      <c r="C16" s="32" t="s">
        <v>497</v>
      </c>
      <c r="D16" s="32" t="s">
        <v>498</v>
      </c>
      <c r="E16" s="32" t="s">
        <v>490</v>
      </c>
    </row>
    <row r="17" spans="1:5" ht="30.45" customHeight="1">
      <c r="A17" s="32" t="s">
        <v>499</v>
      </c>
      <c r="B17" s="32" t="s">
        <v>500</v>
      </c>
      <c r="C17" s="32" t="s">
        <v>493</v>
      </c>
      <c r="D17" s="32" t="s">
        <v>501</v>
      </c>
      <c r="E17" s="32" t="s">
        <v>490</v>
      </c>
    </row>
    <row r="18" spans="1:5" ht="30.45" customHeight="1">
      <c r="A18" s="32" t="s">
        <v>502</v>
      </c>
      <c r="B18" s="32" t="s">
        <v>503</v>
      </c>
      <c r="C18" s="32" t="s">
        <v>504</v>
      </c>
      <c r="D18" s="32" t="s">
        <v>505</v>
      </c>
      <c r="E18" s="32" t="s">
        <v>490</v>
      </c>
    </row>
    <row r="19" spans="1:5" ht="30.45" customHeight="1">
      <c r="A19" s="32" t="s">
        <v>506</v>
      </c>
      <c r="B19" s="32" t="s">
        <v>507</v>
      </c>
      <c r="C19" s="32" t="s">
        <v>508</v>
      </c>
      <c r="D19" s="32" t="s">
        <v>509</v>
      </c>
      <c r="E19" s="32" t="s">
        <v>490</v>
      </c>
    </row>
    <row r="20" spans="1:5">
      <c r="A20" s="32"/>
      <c r="B20" s="32"/>
      <c r="C20" s="32"/>
      <c r="D20" s="32"/>
      <c r="E20" s="32"/>
    </row>
    <row r="21" spans="1:5" ht="17.55" customHeight="1">
      <c r="A21" s="31" t="s">
        <v>510</v>
      </c>
      <c r="B21" s="41" t="s">
        <v>243</v>
      </c>
      <c r="C21" s="41"/>
      <c r="D21" s="41"/>
      <c r="E21" s="41"/>
    </row>
    <row r="22" spans="1:5" ht="43.2" customHeight="1">
      <c r="A22" s="32" t="s">
        <v>244</v>
      </c>
      <c r="B22" s="42" t="s">
        <v>511</v>
      </c>
      <c r="C22" s="42"/>
      <c r="D22" s="42"/>
      <c r="E22" s="42"/>
    </row>
    <row r="23" spans="1:5" ht="43.2" customHeight="1">
      <c r="A23" s="32" t="s">
        <v>512</v>
      </c>
      <c r="B23" s="42" t="s">
        <v>513</v>
      </c>
      <c r="C23" s="42"/>
      <c r="D23" s="42"/>
      <c r="E23" s="42"/>
    </row>
    <row r="24" spans="1:5" ht="43.2" customHeight="1">
      <c r="A24" s="32" t="s">
        <v>248</v>
      </c>
      <c r="B24" s="42" t="s">
        <v>514</v>
      </c>
      <c r="C24" s="42"/>
      <c r="D24" s="42"/>
      <c r="E24" s="42"/>
    </row>
    <row r="25" spans="1:5" ht="43.2" customHeight="1">
      <c r="A25" s="32" t="s">
        <v>515</v>
      </c>
      <c r="B25" s="42" t="s">
        <v>516</v>
      </c>
      <c r="C25" s="42"/>
      <c r="D25" s="42"/>
      <c r="E25" s="42"/>
    </row>
  </sheetData>
  <mergeCells count="7">
    <mergeCell ref="B24:E24"/>
    <mergeCell ref="B25:E25"/>
    <mergeCell ref="A1:E1"/>
    <mergeCell ref="A2:E2"/>
    <mergeCell ref="B21:E21"/>
    <mergeCell ref="B22:E22"/>
    <mergeCell ref="B23:E23"/>
  </mergeCells>
  <conditionalFormatting sqref="B7:B10">
    <cfRule type="dataBar" priority="2">
      <dataBar>
        <cfvo type="min"/>
        <cfvo type="max"/>
        <color rgb="FF0F766E"/>
      </dataBar>
    </cfRule>
    <cfRule type="dataBar" priority="3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{464D7A9A-FD06-43DB-2766-94D6F43BB4FC}</x14:id>
        </ext>
      </extLst>
    </cfRule>
  </conditionalFormatting>
  <conditionalFormatting sqref="B11">
    <cfRule type="cellIs" dxfId="4" priority="1" operator="lessThan">
      <formula>1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4D7A9A-FD06-43DB-2766-94D6F43BB4FC}">
            <x14:dataBar>
              <x14:cfvo type="min"/>
              <x14:cfvo type="max"/>
              <x14:negativeFillColor auto="1"/>
              <x14:axisColor auto="1"/>
            </x14:dataBar>
          </x14:cfRule>
          <xm:sqref>B7:B10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Forecasting Test Cases</vt:lpstr>
      <vt:lpstr>Execution Summary</vt:lpstr>
      <vt:lpstr>Logistics Test Cases</vt:lpstr>
      <vt:lpstr>Logistics 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Savindu Chethiya</cp:lastModifiedBy>
  <dcterms:modified xsi:type="dcterms:W3CDTF">2026-05-03T16:47:34Z</dcterms:modified>
</cp:coreProperties>
</file>